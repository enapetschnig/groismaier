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fo\Documents\01_Firma\1_Rechnungen\2026 Rechnungen\"/>
    </mc:Choice>
  </mc:AlternateContent>
  <xr:revisionPtr revIDLastSave="0" documentId="13_ncr:1_{DBD930AF-C7D6-4023-929A-5C8449953363}" xr6:coauthVersionLast="47" xr6:coauthVersionMax="47" xr10:uidLastSave="{00000000-0000-0000-0000-000000000000}"/>
  <bookViews>
    <workbookView xWindow="1170" yWindow="1170" windowWidth="28800" windowHeight="15345" tabRatio="901" xr2:uid="{00000000-000D-0000-FFFF-FFFF00000000}"/>
  </bookViews>
  <sheets>
    <sheet name="Kundenstamm Re" sheetId="4" r:id="rId1"/>
    <sheet name="Rechnung inkl. MWST" sheetId="3" r:id="rId2"/>
    <sheet name="Rechnung exkl. MWST" sheetId="22" r:id="rId3"/>
    <sheet name="Zahlungserinnerung" sheetId="16" r:id="rId4"/>
    <sheet name="Zahlungsüberweisung" sheetId="8" r:id="rId5"/>
    <sheet name="Kuvert" sheetId="10" r:id="rId6"/>
    <sheet name="Vorlage Firmenpap" sheetId="20" r:id="rId7"/>
    <sheet name="Vorlage Firmenpapier Angebot" sheetId="13" r:id="rId8"/>
    <sheet name="Adresszeile" sheetId="14" r:id="rId9"/>
    <sheet name="Briefvorlage" sheetId="15" r:id="rId10"/>
    <sheet name="TR" sheetId="21" r:id="rId11"/>
  </sheets>
  <definedNames>
    <definedName name="_xlnm.Print_Area" localSheetId="8">Adresszeile!$A$1:$G$56</definedName>
    <definedName name="_xlnm.Print_Area" localSheetId="9">Briefvorlage!$A$1:$G$51</definedName>
    <definedName name="_xlnm.Print_Area" localSheetId="2">'Rechnung exkl. MWST'!$A$1:$G$40</definedName>
    <definedName name="_xlnm.Print_Area" localSheetId="1">'Rechnung inkl. MWST'!$A$1:$G$40</definedName>
    <definedName name="_xlnm.Print_Area" localSheetId="6">'Vorlage Firmenpap'!$A$1:$G$50</definedName>
    <definedName name="_xlnm.Print_Area" localSheetId="7">'Vorlage Firmenpapier Angebot'!$A$1:$G$54</definedName>
    <definedName name="_xlnm.Print_Area" localSheetId="3">Zahlungserinnerung!$A$1:$G$47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22" l="1"/>
  <c r="A142" i="4"/>
  <c r="A143" i="4"/>
  <c r="A144" i="4"/>
  <c r="G25" i="3"/>
  <c r="A139" i="4"/>
  <c r="A140" i="4"/>
  <c r="A141" i="4"/>
  <c r="G36" i="22"/>
  <c r="G29" i="22"/>
  <c r="G28" i="22"/>
  <c r="G27" i="22"/>
  <c r="G26" i="22"/>
  <c r="G25" i="22"/>
  <c r="B19" i="22"/>
  <c r="G10" i="22"/>
  <c r="G26" i="3" l="1"/>
  <c r="G27" i="3"/>
  <c r="G28" i="3"/>
  <c r="A80" i="4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G29" i="3" l="1"/>
  <c r="G31" i="3" s="1"/>
  <c r="F29" i="16" l="1"/>
  <c r="F31" i="16" s="1"/>
  <c r="G34" i="16"/>
  <c r="G27" i="16"/>
  <c r="G26" i="16"/>
  <c r="G10" i="16"/>
  <c r="G10" i="15" l="1"/>
  <c r="G41" i="13" l="1"/>
  <c r="G33" i="3" l="1"/>
  <c r="G32" i="3" s="1"/>
  <c r="B19" i="3"/>
  <c r="G36" i="3" l="1"/>
  <c r="C5" i="8" l="1"/>
  <c r="A4" i="4" l="1"/>
  <c r="J5" i="8"/>
  <c r="G10" i="3"/>
  <c r="A5" i="4" l="1"/>
  <c r="W3" i="8" l="1"/>
  <c r="A6" i="4"/>
  <c r="A7" i="4" l="1"/>
  <c r="A8" i="4" l="1"/>
  <c r="A9" i="4" l="1"/>
  <c r="A10" i="4" l="1"/>
  <c r="A11" i="4" l="1"/>
  <c r="A12" i="4" l="1"/>
  <c r="A13" i="4" l="1"/>
  <c r="A14" i="4" l="1"/>
  <c r="A15" i="4" l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l="1"/>
  <c r="A30" i="4" l="1"/>
  <c r="A31" i="4" l="1"/>
  <c r="A32" i="4" l="1"/>
  <c r="A33" i="4" l="1"/>
  <c r="A34" i="4" l="1"/>
  <c r="A35" i="4" l="1"/>
  <c r="A36" i="4" l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8" i="22" l="1"/>
  <c r="G11" i="22"/>
  <c r="A10" i="22"/>
  <c r="A9" i="22"/>
  <c r="A12" i="22"/>
  <c r="A11" i="22"/>
  <c r="A12" i="3"/>
  <c r="A11" i="16"/>
  <c r="A8" i="16"/>
  <c r="A12" i="16"/>
  <c r="A10" i="16"/>
  <c r="G11" i="16"/>
  <c r="A9" i="16"/>
  <c r="A11" i="3"/>
  <c r="A9" i="3"/>
  <c r="A10" i="3"/>
  <c r="G11" i="3"/>
  <c r="A8" i="3"/>
</calcChain>
</file>

<file path=xl/sharedStrings.xml><?xml version="1.0" encoding="utf-8"?>
<sst xmlns="http://schemas.openxmlformats.org/spreadsheetml/2006/main" count="668" uniqueCount="436">
  <si>
    <t>EH</t>
  </si>
  <si>
    <t>UID Nr.- Kunde:</t>
  </si>
  <si>
    <t>6465 Nassereith</t>
  </si>
  <si>
    <t>Kundennummer</t>
  </si>
  <si>
    <t>Firmenwortlaut</t>
  </si>
  <si>
    <t>Firmentitel</t>
  </si>
  <si>
    <t>Straße</t>
  </si>
  <si>
    <t>PLZ/ORT</t>
  </si>
  <si>
    <t>UID Nr.- Kunde</t>
  </si>
  <si>
    <t>Möbel-Gabl GmbH</t>
  </si>
  <si>
    <t>Industriezone 59</t>
  </si>
  <si>
    <t>A-6460 Imst</t>
  </si>
  <si>
    <t>ATU 32519405</t>
  </si>
  <si>
    <t>IKEA Möbelvertrieb OHG</t>
  </si>
  <si>
    <t>Einrichtungshaus Innsbruck</t>
  </si>
  <si>
    <t>Amraser-See-Str 56c DEZ</t>
  </si>
  <si>
    <t>A-6020 Innsbruck</t>
  </si>
  <si>
    <t>ATU 19420008</t>
  </si>
  <si>
    <t>Kone AG</t>
  </si>
  <si>
    <t>A-1230 Wien</t>
  </si>
  <si>
    <t>ATU 14651205</t>
  </si>
  <si>
    <t>EWR Handelsgesellschaft m.b.H.</t>
  </si>
  <si>
    <t>Elektronik. Voller Service</t>
  </si>
  <si>
    <t>Großfeldstraße 10-14</t>
  </si>
  <si>
    <t>A-6600 Reutte</t>
  </si>
  <si>
    <t>ATU 57443500</t>
  </si>
  <si>
    <t>Gitterle Christoph GmbH</t>
  </si>
  <si>
    <t>Tischlerei u Küchenstudio</t>
  </si>
  <si>
    <t>Fließerau 390</t>
  </si>
  <si>
    <t>A-6500 Landeck</t>
  </si>
  <si>
    <t>ATU 53026005</t>
  </si>
  <si>
    <t>P.O. Montage-</t>
  </si>
  <si>
    <t>Vermittlungs-Service GmbH</t>
  </si>
  <si>
    <t>Rennweg 78-1</t>
  </si>
  <si>
    <t>A-1030 Wien</t>
  </si>
  <si>
    <t>ATU 66549167</t>
  </si>
  <si>
    <t>Die Küchenprofis</t>
  </si>
  <si>
    <t>Schranz- Wolf Gmbh</t>
  </si>
  <si>
    <t xml:space="preserve">Kampleweg 2  </t>
  </si>
  <si>
    <t>A-6532 Prutz</t>
  </si>
  <si>
    <t>ATU63128323</t>
  </si>
  <si>
    <t>Fuchs Erwin</t>
  </si>
  <si>
    <t>Privat Kunde</t>
  </si>
  <si>
    <t>Namlos 21</t>
  </si>
  <si>
    <t>A-6623 Namlos</t>
  </si>
  <si>
    <t xml:space="preserve">Dan Küchen </t>
  </si>
  <si>
    <t>Leitner Telfs</t>
  </si>
  <si>
    <t>Weißenbachgasse 1</t>
  </si>
  <si>
    <t xml:space="preserve">A-6410 Telfs </t>
  </si>
  <si>
    <t>ATU66090589</t>
  </si>
  <si>
    <t>Kirschner Patrick</t>
  </si>
  <si>
    <t>Gunesweg 17</t>
  </si>
  <si>
    <t>A-6532 Ladis</t>
  </si>
  <si>
    <t>ATU06759934</t>
  </si>
  <si>
    <t>Thomas Schnegg</t>
  </si>
  <si>
    <t xml:space="preserve">Tischlerei </t>
  </si>
  <si>
    <t>Au 21</t>
  </si>
  <si>
    <t>A-6492 Imsterberg</t>
  </si>
  <si>
    <t>ATU32538901</t>
  </si>
  <si>
    <t>Fischer Parket</t>
  </si>
  <si>
    <t xml:space="preserve">Ges.m.b.H &amp; Co KG </t>
  </si>
  <si>
    <t>Lauterbach 12</t>
  </si>
  <si>
    <t>A-5151 Nussdorf</t>
  </si>
  <si>
    <t>ATU35004400</t>
  </si>
  <si>
    <t xml:space="preserve">Vilbur </t>
  </si>
  <si>
    <t>Grupo Entre Vilbur 2013s.l</t>
  </si>
  <si>
    <t>Camino de los Vinateros  106</t>
  </si>
  <si>
    <t xml:space="preserve">28030 Madrid </t>
  </si>
  <si>
    <t>ESB86752573</t>
  </si>
  <si>
    <t xml:space="preserve">Schöpf Barbara </t>
  </si>
  <si>
    <t>Längenfeld 198</t>
  </si>
  <si>
    <t>A-6444 Längenfeld</t>
  </si>
  <si>
    <t xml:space="preserve">Privat </t>
  </si>
  <si>
    <t>Angelika Fiegl</t>
  </si>
  <si>
    <t>Wassertalstraße 8</t>
  </si>
  <si>
    <t>A-6430 Ötztal-Bahnhof</t>
  </si>
  <si>
    <t>Schloß Fernstein GmbH</t>
  </si>
  <si>
    <t>Fam. Köhle</t>
  </si>
  <si>
    <t>Fernstein</t>
  </si>
  <si>
    <t>A-6465Nassereith</t>
  </si>
  <si>
    <t>Kysella Margit</t>
  </si>
  <si>
    <t>Am Grettert16</t>
  </si>
  <si>
    <t>Egger Andreas u.Eva</t>
  </si>
  <si>
    <t>Griesackerweg 6</t>
  </si>
  <si>
    <t>A-6423 Mötz</t>
  </si>
  <si>
    <t>Petix e. U.</t>
  </si>
  <si>
    <t>Dollinger -Lager 7</t>
  </si>
  <si>
    <t>A-6464 Tarrenz</t>
  </si>
  <si>
    <t>ATU67548825</t>
  </si>
  <si>
    <t>Karl Prugger</t>
  </si>
  <si>
    <t>Möbeltischlerei</t>
  </si>
  <si>
    <t>Staatsstraße 15</t>
  </si>
  <si>
    <t>I-39024 Mals</t>
  </si>
  <si>
    <t>ATUIT01560760215</t>
  </si>
  <si>
    <t xml:space="preserve">Knorr Markus und Tanja </t>
  </si>
  <si>
    <t>Biburgerweg 3</t>
  </si>
  <si>
    <t>DE 82205 Gilching</t>
  </si>
  <si>
    <t>A-6642 Stanzach</t>
  </si>
  <si>
    <t>Leistungszeitraum:</t>
  </si>
  <si>
    <t>Nettobetrag</t>
  </si>
  <si>
    <t>Rechnungsbetrag brutto</t>
  </si>
  <si>
    <t>zuzüglich 20% Mwst.</t>
  </si>
  <si>
    <t>Betreff:</t>
  </si>
  <si>
    <t>AT21 2050 2000 0084 9588</t>
  </si>
  <si>
    <t>SPIMAT 21XXX</t>
  </si>
  <si>
    <t xml:space="preserve">KNr.: </t>
  </si>
  <si>
    <t>RNr.:</t>
  </si>
  <si>
    <t>POS.</t>
  </si>
  <si>
    <t>MENGE</t>
  </si>
  <si>
    <t>Kundennr.:</t>
  </si>
  <si>
    <t>Datum:</t>
  </si>
  <si>
    <t>BEZEICHNUNG</t>
  </si>
  <si>
    <t>PREIS/EH</t>
  </si>
  <si>
    <t>GESAMT</t>
  </si>
  <si>
    <t>Zahlbar nach Erhalt der Rechnung netto Kassa.</t>
  </si>
  <si>
    <t>Lieferadresse:</t>
  </si>
  <si>
    <t>Rechnungsnr.:</t>
  </si>
  <si>
    <t>Seite:</t>
  </si>
  <si>
    <t>1 von 1</t>
  </si>
  <si>
    <t>XXX</t>
  </si>
  <si>
    <t>Rechnungsbetrag netto</t>
  </si>
  <si>
    <t>Seiler Adalbert</t>
  </si>
  <si>
    <t>Dorfstraße 3</t>
  </si>
  <si>
    <t>A-6426 Roppen</t>
  </si>
  <si>
    <t xml:space="preserve">Prantl Peter </t>
  </si>
  <si>
    <t>Am Weinberg 16</t>
  </si>
  <si>
    <t>6460 Imst</t>
  </si>
  <si>
    <t>Gruber Franz</t>
  </si>
  <si>
    <t>Stanzach Nr. 122</t>
  </si>
  <si>
    <t>6642 Stanzach</t>
  </si>
  <si>
    <t>Pohl Hansjörg</t>
  </si>
  <si>
    <t>Wiesenweg 5</t>
  </si>
  <si>
    <t>6426 Roppen</t>
  </si>
  <si>
    <t>Schmid Andreas</t>
  </si>
  <si>
    <t>Haus Ambiente Austria</t>
  </si>
  <si>
    <t>Niederthai Nr.142</t>
  </si>
  <si>
    <t>6441 Umhausen</t>
  </si>
  <si>
    <t>ATU 66667822</t>
  </si>
  <si>
    <t>Lembökgasse 61</t>
  </si>
  <si>
    <t>Eiter Christine</t>
  </si>
  <si>
    <t>Wald-Untergasse 25</t>
  </si>
  <si>
    <t>6471 Arzl im Pitztal</t>
  </si>
  <si>
    <t>Tiefenbrunner Manfred</t>
  </si>
  <si>
    <t>Tischlerei GmbH.</t>
  </si>
  <si>
    <t>Schulgasse 12</t>
  </si>
  <si>
    <t>6464 Tarrenz</t>
  </si>
  <si>
    <t>ATU 63118147</t>
  </si>
  <si>
    <t>Brunnwald 403</t>
  </si>
  <si>
    <t>Nickmann Paul</t>
  </si>
  <si>
    <t>Müllerhofweg 5</t>
  </si>
  <si>
    <t>6632 Ehrwald</t>
  </si>
  <si>
    <t>Reich Patrick</t>
  </si>
  <si>
    <t>Habichen 123</t>
  </si>
  <si>
    <t>6433 Ötz</t>
  </si>
  <si>
    <t>Kofler Thomas</t>
  </si>
  <si>
    <t>Brand</t>
  </si>
  <si>
    <t>6622 Berwang</t>
  </si>
  <si>
    <t>Schöpf Benjamin, Katharina</t>
  </si>
  <si>
    <t>Tschiderer Rene</t>
  </si>
  <si>
    <t>Nr.:</t>
  </si>
  <si>
    <t>Vielen Dank für Ihren Auftrag.</t>
  </si>
  <si>
    <t xml:space="preserve">Bei Überweisung mittels Internet-Banking tragen Sie bitte im Feld </t>
  </si>
  <si>
    <t>"Verwendungszweck" die Rechnungsnummer ein.</t>
  </si>
  <si>
    <t>Josef-Dreier-Weg 3</t>
  </si>
  <si>
    <t>A-6671 Weissenbach am Lech</t>
  </si>
  <si>
    <t>Lutz Heidi</t>
  </si>
  <si>
    <t>A-6465 Nassereith</t>
  </si>
  <si>
    <t>Brunnwald 411</t>
  </si>
  <si>
    <t>Oldenbourg Paul</t>
  </si>
  <si>
    <t>Stanzach Nr. 86a</t>
  </si>
  <si>
    <t>Stanzach Nr. 74</t>
  </si>
  <si>
    <t>Marin Rogic</t>
  </si>
  <si>
    <t>Schäfer Hubert</t>
  </si>
  <si>
    <t>Stanzach Nr. 151</t>
  </si>
  <si>
    <t>Bemerkung: Bauleistung im Sinne § 19a USTG.</t>
  </si>
  <si>
    <t>Köck Gertrud</t>
  </si>
  <si>
    <t>Stanzach Nr. 148</t>
  </si>
  <si>
    <t>Lutz Silvia und Peter</t>
  </si>
  <si>
    <t>Blockau 19</t>
  </si>
  <si>
    <t>Reinpold Horst</t>
  </si>
  <si>
    <t>Gipsmühlenstraße 43b</t>
  </si>
  <si>
    <t>A-6600 Breitenwang</t>
  </si>
  <si>
    <t>Gapp Elisabeth Ing.</t>
  </si>
  <si>
    <t>Markus Haselsberger</t>
  </si>
  <si>
    <t>Blockau 74</t>
  </si>
  <si>
    <t>Karlen Regina</t>
  </si>
  <si>
    <t>Gapp Charlotte</t>
  </si>
  <si>
    <t>Blockau 110</t>
  </si>
  <si>
    <t>Metallwerk-Planseestraße 14</t>
  </si>
  <si>
    <t>Blockau 62a</t>
  </si>
  <si>
    <t>Singer Monika</t>
  </si>
  <si>
    <t>Hausnummer 68</t>
  </si>
  <si>
    <t>A-6644 Elmen</t>
  </si>
  <si>
    <t>Familienskilift</t>
  </si>
  <si>
    <t>Hausnummer 6</t>
  </si>
  <si>
    <t>Mobil: 0699/191 68 685,  E-Mail: info@holzbau-lutz.at</t>
  </si>
  <si>
    <t xml:space="preserve">Betreff: </t>
  </si>
  <si>
    <t xml:space="preserve">An </t>
  </si>
  <si>
    <t>Knitel Michael</t>
  </si>
  <si>
    <t>Hausnummer 152</t>
  </si>
  <si>
    <t>Zahlungserinnerung</t>
  </si>
  <si>
    <t>Wir erlauben uns, Ihre Aufmerksamkeit auf die unten angeführten fälligen Rechnungen zu lenken und</t>
  </si>
  <si>
    <t>ersuchen Sie, diese zu begleichen.</t>
  </si>
  <si>
    <t xml:space="preserve">Sollten Sie in der Zwischenzeit bereits Zahlungen geleistet haben, bitten wir Sie, </t>
  </si>
  <si>
    <t>dieses Schreiben als gegenstandslos.</t>
  </si>
  <si>
    <t>Re. Datum</t>
  </si>
  <si>
    <t>Re.nummer</t>
  </si>
  <si>
    <t>fällig am</t>
  </si>
  <si>
    <t>Rechnungsbetrag</t>
  </si>
  <si>
    <t xml:space="preserve">Mahnstufe </t>
  </si>
  <si>
    <t>Summe</t>
  </si>
  <si>
    <t xml:space="preserve">Verzugszinsen </t>
  </si>
  <si>
    <t>Fälliger Saldo</t>
  </si>
  <si>
    <t>Zahlungseingänge wurden bis zum xx.xx.2018 berücksichtigt.</t>
  </si>
  <si>
    <t>Zahlung erbeten an Montagen Lutz OG zugunsten Konto IBAN: AT21 2050 2000 0084 9588</t>
  </si>
  <si>
    <t>bei der Sparkasse Imst AG BIC: SPIMAT21.</t>
  </si>
  <si>
    <t>Wolfram Frick</t>
  </si>
  <si>
    <t>Bichl 9</t>
  </si>
  <si>
    <t>A-6611 Heiterwang</t>
  </si>
  <si>
    <t>ATU 48210305</t>
  </si>
  <si>
    <t>Fam. Urthaler</t>
  </si>
  <si>
    <t>Neder 40</t>
  </si>
  <si>
    <t>A-6095 Grinzens</t>
  </si>
  <si>
    <t>Wolfgang Bauer</t>
  </si>
  <si>
    <t>Blockau</t>
  </si>
  <si>
    <t>Markt Alexander</t>
  </si>
  <si>
    <t>Siedlungsweg 7</t>
  </si>
  <si>
    <t>La Soa Chalets &amp; Eventlodge</t>
  </si>
  <si>
    <t>Schattwald 80</t>
  </si>
  <si>
    <t xml:space="preserve">A-6677 Schattwald </t>
  </si>
  <si>
    <t>ATU 69923602</t>
  </si>
  <si>
    <t>Amtmann Mario</t>
  </si>
  <si>
    <t>Blockau 89</t>
  </si>
  <si>
    <t>Preisser Eddy</t>
  </si>
  <si>
    <t>Hausnummer 18</t>
  </si>
  <si>
    <t>Agerer Angelika und Joachim</t>
  </si>
  <si>
    <t>Hauptstraße 1</t>
  </si>
  <si>
    <t>Jungbauernschaft Vorderhornbach</t>
  </si>
  <si>
    <t>Vorderhornbach Nr. 11</t>
  </si>
  <si>
    <t>A-6645 Vorderhornbach</t>
  </si>
  <si>
    <t>Posch Hubert</t>
  </si>
  <si>
    <t>Oberhof 19</t>
  </si>
  <si>
    <t>SV Stanzach</t>
  </si>
  <si>
    <t>z.H. Leopold Lechleitner</t>
  </si>
  <si>
    <t>Hausnummer 133</t>
  </si>
  <si>
    <t>Fam. Feistenauer</t>
  </si>
  <si>
    <t>Dorfstraße 21</t>
  </si>
  <si>
    <t>A-6604 Höfen</t>
  </si>
  <si>
    <t>Brandl Andreas</t>
  </si>
  <si>
    <t>Dorfstraße 7</t>
  </si>
  <si>
    <t>Köck Daniel</t>
  </si>
  <si>
    <t>Schröfle 103</t>
  </si>
  <si>
    <t xml:space="preserve">D-22763 Hamburg </t>
  </si>
  <si>
    <t>Rütgerweg 3</t>
  </si>
  <si>
    <t>C/o Eva Liebich</t>
  </si>
  <si>
    <t>Falger Nadja und Jürgen</t>
  </si>
  <si>
    <t>Blockau 15</t>
  </si>
  <si>
    <t>A-Stanzach</t>
  </si>
  <si>
    <t>Montagen Lutz OG,  6642  Stanzach,  Am Sportplatz 3</t>
  </si>
  <si>
    <t>Hotel Föhrenhof</t>
  </si>
  <si>
    <t>Greil Anette und Christian</t>
  </si>
  <si>
    <t>Griesegg 20</t>
  </si>
  <si>
    <t>Kofler Christoph</t>
  </si>
  <si>
    <t>Obtarrenz 12</t>
  </si>
  <si>
    <t>Lutz Michael</t>
  </si>
  <si>
    <t>Köpfle Karlheinz</t>
  </si>
  <si>
    <t>Schöfle 104</t>
  </si>
  <si>
    <t>Gratl Werner</t>
  </si>
  <si>
    <t>Ausserferner Betonwerk GesmbH u. CoKG</t>
  </si>
  <si>
    <t>Sportplatzstraße 4</t>
  </si>
  <si>
    <t>A-6600 Lechaschau</t>
  </si>
  <si>
    <t>ATU32957306</t>
  </si>
  <si>
    <t>Lang Rudolf</t>
  </si>
  <si>
    <t>Nr. 116</t>
  </si>
  <si>
    <t>Reich Bernhard</t>
  </si>
  <si>
    <t>Nr.68f</t>
  </si>
  <si>
    <t>A-6654 Holzgau</t>
  </si>
  <si>
    <t>Bärbel Liebich</t>
  </si>
  <si>
    <t>Winkler Michael</t>
  </si>
  <si>
    <t>Dorf 18</t>
  </si>
  <si>
    <t>WEG Lutz</t>
  </si>
  <si>
    <t>Gemeinde Stanzach</t>
  </si>
  <si>
    <t>Dorf 1</t>
  </si>
  <si>
    <t>ATU 47374103</t>
  </si>
  <si>
    <t xml:space="preserve">Schwarz Michael </t>
  </si>
  <si>
    <t>Rauth 44</t>
  </si>
  <si>
    <t>ATU 72130339</t>
  </si>
  <si>
    <t>Köpfle Thorsten</t>
  </si>
  <si>
    <t>Am Schröfle 92</t>
  </si>
  <si>
    <t>ATU 66376334</t>
  </si>
  <si>
    <t>Schratz Erwin</t>
  </si>
  <si>
    <t>Prof. Dengel Str. 31</t>
  </si>
  <si>
    <t xml:space="preserve">Architekturbüro Dejaco </t>
  </si>
  <si>
    <t>Ehrenbergstr 50</t>
  </si>
  <si>
    <t>Bödele 17</t>
  </si>
  <si>
    <t>Haider Alexandra</t>
  </si>
  <si>
    <t>ATU 737 66 178</t>
  </si>
  <si>
    <t>Posch Peter</t>
  </si>
  <si>
    <t>Stelzhammer Wilko</t>
  </si>
  <si>
    <t>Pension Hornbachstüberl</t>
  </si>
  <si>
    <t>Lechleitner Norbert</t>
  </si>
  <si>
    <t>Hnr.:30</t>
  </si>
  <si>
    <t>A-6646 Hinterhornbach</t>
  </si>
  <si>
    <t>ATU 64469505</t>
  </si>
  <si>
    <t>Gemeinde Hinterhornbach</t>
  </si>
  <si>
    <t>Hnr: 18</t>
  </si>
  <si>
    <t>Paulmichl Fritz</t>
  </si>
  <si>
    <t>Nr. 64</t>
  </si>
  <si>
    <t>Jäger Roland</t>
  </si>
  <si>
    <t>Ing. Kastner Straße 161</t>
  </si>
  <si>
    <t>Barbist Michael</t>
  </si>
  <si>
    <t>Kirchmairstraße 2</t>
  </si>
  <si>
    <t>A-6610 Wängle</t>
  </si>
  <si>
    <t>Hüttig Marion und Tobias</t>
  </si>
  <si>
    <t xml:space="preserve">Klier Werner und Irene </t>
  </si>
  <si>
    <t>Bader Sebastian</t>
  </si>
  <si>
    <t>Blockau 36a</t>
  </si>
  <si>
    <t>Siedlung 96</t>
  </si>
  <si>
    <t>Hnr. 22a</t>
  </si>
  <si>
    <t>Tröstl Carina und Dieter</t>
  </si>
  <si>
    <t>Hnr. 99</t>
  </si>
  <si>
    <t xml:space="preserve">Winkler Martin </t>
  </si>
  <si>
    <t>Rain 9</t>
  </si>
  <si>
    <t>Gundolf Reinhold</t>
  </si>
  <si>
    <t>Eggmahd 561</t>
  </si>
  <si>
    <t>A-6473 Wenns</t>
  </si>
  <si>
    <t xml:space="preserve">Gundolf Evelyn </t>
  </si>
  <si>
    <t>Dorfstraße 40a</t>
  </si>
  <si>
    <t>A-6471 Arzl i. Pitztal</t>
  </si>
  <si>
    <t>Werner Schönherr</t>
  </si>
  <si>
    <t>Badergasse</t>
  </si>
  <si>
    <t>A-645 Nassereith</t>
  </si>
  <si>
    <t>Frischhut Stefan</t>
  </si>
  <si>
    <t>Ehrenbergstraße 18</t>
  </si>
  <si>
    <t>Hollauf Patrick</t>
  </si>
  <si>
    <t>Palmersbachweg 26</t>
  </si>
  <si>
    <t>Lechtalerstraße 45</t>
  </si>
  <si>
    <t xml:space="preserve">	
Nessler Fenster Türen Vertriebs-Gesellschaft m.b.H.</t>
  </si>
  <si>
    <t>ATU61130127</t>
  </si>
  <si>
    <t>Winkler - Perle Silvia</t>
  </si>
  <si>
    <t>Langebner Stefanie, Kappeller Benjamin</t>
  </si>
  <si>
    <t>Stockach 19b</t>
  </si>
  <si>
    <t>A-6653 Bach</t>
  </si>
  <si>
    <t>Agrargemeinschaft Jochbach-Kanz</t>
  </si>
  <si>
    <t>Obmann Hr. Lechleitner Markus</t>
  </si>
  <si>
    <t>Hnr: 24</t>
  </si>
  <si>
    <t>um eine 1. Teilrechnung in der Höhe von</t>
  </si>
  <si>
    <t>Wir bitten Sie höflichst zum o.a.BV.</t>
  </si>
  <si>
    <t>Friedle Daniel</t>
  </si>
  <si>
    <t>Hnr:</t>
  </si>
  <si>
    <t>Lechleitner Markus</t>
  </si>
  <si>
    <t>Hnr.24</t>
  </si>
  <si>
    <t>Rechnung</t>
  </si>
  <si>
    <t>Jäger Gerold und Waldtraud</t>
  </si>
  <si>
    <t>A-6600 Ehenbichl</t>
  </si>
  <si>
    <t>Baldauf Christoph</t>
  </si>
  <si>
    <t>Wiesenweg 6</t>
  </si>
  <si>
    <t>XXX.23</t>
  </si>
  <si>
    <t>Holzbau Lutz OG, Am Sportplatz 3, 6642 Stanzach</t>
  </si>
  <si>
    <t>Holzbau Lutz OG</t>
  </si>
  <si>
    <t>Zobl Katharina und Dominique</t>
  </si>
  <si>
    <t>Lindenweg 11</t>
  </si>
  <si>
    <t>A-6600 Pflach</t>
  </si>
  <si>
    <t>Mentler Bernhard</t>
  </si>
  <si>
    <t>Posch Gebäudetechnik</t>
  </si>
  <si>
    <t>ATU77365049</t>
  </si>
  <si>
    <t>Kurt Lorenz</t>
  </si>
  <si>
    <t>Schröfle 90</t>
  </si>
  <si>
    <t>Flür Thomas</t>
  </si>
  <si>
    <t>Dr.Robert Thyll Str.11</t>
  </si>
  <si>
    <t>Fam. Ihrenberger</t>
  </si>
  <si>
    <t>Obermarkt 79</t>
  </si>
  <si>
    <t>Frischmann Natalie, Lutz Michael</t>
  </si>
  <si>
    <t>Am Sportplatz 3</t>
  </si>
  <si>
    <t>Ing. Huber Harald</t>
  </si>
  <si>
    <t>Hinterellenbogen 11a</t>
  </si>
  <si>
    <t>A-6655 Steeg</t>
  </si>
  <si>
    <t xml:space="preserve">Fam. Singer </t>
  </si>
  <si>
    <t>Ortsweg 8</t>
  </si>
  <si>
    <t>A-6605 Höfen</t>
  </si>
  <si>
    <t>Holz Selb</t>
  </si>
  <si>
    <t>Häternach 39a</t>
  </si>
  <si>
    <t>A-6651 Häselgehr</t>
  </si>
  <si>
    <t>ATU32942509</t>
  </si>
  <si>
    <t>Lechtal Tourismus</t>
  </si>
  <si>
    <t>Knitel Serafin</t>
  </si>
  <si>
    <t>Holzgau 115</t>
  </si>
  <si>
    <t>Kelmen 17</t>
  </si>
  <si>
    <t xml:space="preserve">Fam. Perle </t>
  </si>
  <si>
    <t>Pürmayr Reinhold</t>
  </si>
  <si>
    <t>Schlierenzau 41</t>
  </si>
  <si>
    <t>A-6425 Haiming</t>
  </si>
  <si>
    <t>Darr 12</t>
  </si>
  <si>
    <t>Prantl Anton</t>
  </si>
  <si>
    <t>ATU75692715</t>
  </si>
  <si>
    <t>Industriestraße 34</t>
  </si>
  <si>
    <t>A-6430 Ötztal-Bhf</t>
  </si>
  <si>
    <t>Köpfle Karsten</t>
  </si>
  <si>
    <t>Schröfle 92</t>
  </si>
  <si>
    <t>Ulses Mark</t>
  </si>
  <si>
    <t>Rauth 92</t>
  </si>
  <si>
    <t>Dreer Georg</t>
  </si>
  <si>
    <t>Nr.</t>
  </si>
  <si>
    <t>Pohler Christiane und Hubert</t>
  </si>
  <si>
    <t>Rauth 3</t>
  </si>
  <si>
    <t>Pohler Michael</t>
  </si>
  <si>
    <t>Rauth</t>
  </si>
  <si>
    <t>Jeka</t>
  </si>
  <si>
    <t>Zotz Ernst</t>
  </si>
  <si>
    <t>Bödele</t>
  </si>
  <si>
    <t>Privat</t>
  </si>
  <si>
    <t>Stekat GmbH</t>
  </si>
  <si>
    <t>Kraichen 62a</t>
  </si>
  <si>
    <t>ATU76817269</t>
  </si>
  <si>
    <t>Lumper Manfred</t>
  </si>
  <si>
    <t>Hnr.</t>
  </si>
  <si>
    <t>Immobilien Management Dr. Köck</t>
  </si>
  <si>
    <t>Malserstraße 39</t>
  </si>
  <si>
    <t xml:space="preserve">Fam. Hornstein </t>
  </si>
  <si>
    <t>Oberland 15</t>
  </si>
  <si>
    <t>A-6672 Nesselwängle</t>
  </si>
  <si>
    <t>Ermler Martin</t>
  </si>
  <si>
    <t>Kobald und Außerladscheider</t>
  </si>
  <si>
    <t>Lechtaler Straße 44</t>
  </si>
  <si>
    <t>Agrargemeinschaft</t>
  </si>
  <si>
    <t>Außerhofer Hanspeter</t>
  </si>
  <si>
    <t>Kerle Patrick</t>
  </si>
  <si>
    <t>Dürrhammer Fabian und Anna-Lena Csar</t>
  </si>
  <si>
    <t>Halbwegstraße 10</t>
  </si>
  <si>
    <t>Pfeifer Alexander</t>
  </si>
  <si>
    <t>Darr</t>
  </si>
  <si>
    <t>Pfefferkor Werenfried</t>
  </si>
  <si>
    <t>A-6644</t>
  </si>
  <si>
    <t>Elmen 77</t>
  </si>
  <si>
    <t>Lumpert Robin</t>
  </si>
  <si>
    <t>Holzgau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</si>
</sst>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\ &quot;€&quot;"/>
    <numFmt numFmtId="165" formatCode="0.00\ &quot;€&quot;;\-General;"/>
    <numFmt numFmtId="166" formatCode="0,000.00\ &quot;€&quot;;\-General;"/>
    <numFmt numFmtId="167" formatCode="#,##0.00\ &quot;€&quot;;\-General;"/>
    <numFmt numFmtId="168" formatCode="#,##0.00_ ;\-#,##0.00\ "/>
  </numFmts>
  <fonts count="49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vertAlign val="superscript"/>
      <sz val="8"/>
      <name val="Arial"/>
      <family val="2"/>
    </font>
    <font>
      <sz val="8"/>
      <name val="Arial"/>
      <family val="2"/>
    </font>
    <font>
      <sz val="8"/>
      <name val="ZF Sans"/>
    </font>
    <font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sz val="12"/>
      <color indexed="1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24"/>
      <color theme="1" tint="0.499984740745262"/>
      <name val="Creampuff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vertAlign val="superscript"/>
      <sz val="9"/>
      <color theme="1" tint="0.499984740745262"/>
      <name val="Arial"/>
      <family val="2"/>
    </font>
    <font>
      <u/>
      <vertAlign val="superscript"/>
      <sz val="8"/>
      <color theme="1" tint="0.499984740745262"/>
      <name val="Arial"/>
      <family val="2"/>
    </font>
    <font>
      <sz val="7"/>
      <color theme="1"/>
      <name val="Century Gothic"/>
      <family val="2"/>
    </font>
    <font>
      <sz val="7"/>
      <name val="Century Gothic"/>
      <family val="2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b/>
      <sz val="12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b/>
      <sz val="9"/>
      <color theme="1"/>
      <name val="Century Gothic"/>
      <family val="2"/>
    </font>
    <font>
      <b/>
      <sz val="9"/>
      <name val="Century Gothic"/>
      <family val="2"/>
    </font>
    <font>
      <u/>
      <vertAlign val="superscript"/>
      <sz val="8"/>
      <color theme="1" tint="0.499984740745262"/>
      <name val="Century Gothic"/>
      <family val="2"/>
    </font>
    <font>
      <sz val="12"/>
      <name val="Century Gothic"/>
      <family val="2"/>
    </font>
    <font>
      <sz val="14"/>
      <name val="Calibri"/>
      <family val="2"/>
      <scheme val="minor"/>
    </font>
    <font>
      <sz val="10"/>
      <name val="Century Gothic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3" fontId="33" fillId="0" borderId="0" applyFont="0" applyFill="0" applyBorder="0" applyAlignment="0" applyProtection="0"/>
  </cellStyleXfs>
  <cellXfs count="150">
    <xf numFmtId="0" fontId="0" fillId="0" borderId="0" xfId="0"/>
    <xf numFmtId="0" fontId="0" fillId="0" borderId="1" xfId="0" applyBorder="1" applyProtection="1">
      <protection locked="0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13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4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20" fillId="0" borderId="0" xfId="0" applyFont="1"/>
    <xf numFmtId="0" fontId="23" fillId="0" borderId="0" xfId="0" applyFont="1"/>
    <xf numFmtId="0" fontId="24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49" fontId="23" fillId="0" borderId="0" xfId="0" applyNumberFormat="1" applyFont="1"/>
    <xf numFmtId="0" fontId="23" fillId="0" borderId="0" xfId="1" applyFont="1" applyAlignment="1" applyProtection="1"/>
    <xf numFmtId="0" fontId="22" fillId="0" borderId="0" xfId="0" applyFont="1"/>
    <xf numFmtId="0" fontId="6" fillId="0" borderId="0" xfId="0" applyFont="1"/>
    <xf numFmtId="0" fontId="17" fillId="0" borderId="0" xfId="0" applyFont="1" applyAlignment="1">
      <alignment horizontal="center"/>
    </xf>
    <xf numFmtId="0" fontId="0" fillId="0" borderId="0" xfId="0" applyProtection="1">
      <protection locked="0"/>
    </xf>
    <xf numFmtId="0" fontId="26" fillId="0" borderId="0" xfId="0" applyFont="1"/>
    <xf numFmtId="0" fontId="29" fillId="0" borderId="0" xfId="0" applyFont="1"/>
    <xf numFmtId="0" fontId="30" fillId="0" borderId="0" xfId="0" applyFont="1"/>
    <xf numFmtId="0" fontId="19" fillId="0" borderId="0" xfId="0" applyFont="1"/>
    <xf numFmtId="0" fontId="17" fillId="0" borderId="0" xfId="0" applyFont="1"/>
    <xf numFmtId="0" fontId="18" fillId="0" borderId="0" xfId="0" applyFont="1"/>
    <xf numFmtId="0" fontId="17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0" fontId="14" fillId="0" borderId="0" xfId="0" applyFont="1" applyAlignment="1">
      <alignment horizontal="left"/>
    </xf>
    <xf numFmtId="0" fontId="0" fillId="0" borderId="0" xfId="0" applyAlignment="1">
      <alignment horizontal="right"/>
    </xf>
    <xf numFmtId="164" fontId="17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4" fillId="0" borderId="0" xfId="0" applyFont="1"/>
    <xf numFmtId="164" fontId="16" fillId="0" borderId="0" xfId="0" applyNumberFormat="1" applyFont="1"/>
    <xf numFmtId="0" fontId="5" fillId="0" borderId="0" xfId="0" applyFont="1"/>
    <xf numFmtId="0" fontId="25" fillId="0" borderId="0" xfId="0" applyFont="1" applyAlignment="1">
      <alignment horizontal="right" vertical="center"/>
    </xf>
    <xf numFmtId="0" fontId="25" fillId="0" borderId="0" xfId="0" applyFont="1" applyAlignment="1" applyProtection="1">
      <alignment horizontal="right" vertical="center"/>
      <protection locked="0"/>
    </xf>
    <xf numFmtId="14" fontId="25" fillId="0" borderId="0" xfId="0" applyNumberFormat="1" applyFont="1" applyAlignment="1">
      <alignment horizontal="right" vertical="center"/>
    </xf>
    <xf numFmtId="0" fontId="31" fillId="0" borderId="0" xfId="0" applyFont="1"/>
    <xf numFmtId="0" fontId="32" fillId="0" borderId="0" xfId="0" applyFont="1" applyAlignment="1" applyProtection="1">
      <alignment horizontal="center"/>
      <protection locked="0"/>
    </xf>
    <xf numFmtId="0" fontId="0" fillId="0" borderId="3" xfId="0" applyBorder="1"/>
    <xf numFmtId="0" fontId="17" fillId="0" borderId="3" xfId="0" applyFont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34" fillId="0" borderId="0" xfId="0" applyFont="1"/>
    <xf numFmtId="0" fontId="38" fillId="0" borderId="0" xfId="0" applyFont="1" applyAlignment="1">
      <alignment horizontal="right" vertical="center"/>
    </xf>
    <xf numFmtId="0" fontId="38" fillId="0" borderId="0" xfId="0" applyFont="1" applyAlignment="1" applyProtection="1">
      <alignment horizontal="right" vertical="center"/>
      <protection locked="0"/>
    </xf>
    <xf numFmtId="14" fontId="38" fillId="0" borderId="0" xfId="0" applyNumberFormat="1" applyFont="1" applyAlignment="1">
      <alignment horizontal="right" vertical="center"/>
    </xf>
    <xf numFmtId="0" fontId="35" fillId="0" borderId="0" xfId="0" applyFont="1" applyAlignment="1" applyProtection="1">
      <alignment horizontal="left"/>
      <protection locked="0"/>
    </xf>
    <xf numFmtId="0" fontId="37" fillId="0" borderId="0" xfId="0" applyFont="1" applyAlignment="1" applyProtection="1">
      <alignment horizontal="center"/>
      <protection locked="0"/>
    </xf>
    <xf numFmtId="0" fontId="35" fillId="0" borderId="0" xfId="0" applyFont="1" applyProtection="1">
      <protection locked="0"/>
    </xf>
    <xf numFmtId="0" fontId="35" fillId="0" borderId="0" xfId="0" applyFont="1" applyAlignment="1" applyProtection="1">
      <alignment horizontal="center"/>
      <protection locked="0"/>
    </xf>
    <xf numFmtId="0" fontId="34" fillId="0" borderId="0" xfId="0" applyFont="1" applyAlignment="1" applyProtection="1">
      <alignment horizontal="left"/>
      <protection locked="0"/>
    </xf>
    <xf numFmtId="0" fontId="35" fillId="0" borderId="0" xfId="0" applyFont="1"/>
    <xf numFmtId="0" fontId="35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40" fillId="0" borderId="4" xfId="0" applyFont="1" applyBorder="1"/>
    <xf numFmtId="0" fontId="36" fillId="0" borderId="4" xfId="0" applyFont="1" applyBorder="1"/>
    <xf numFmtId="0" fontId="36" fillId="0" borderId="4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44" fillId="0" borderId="0" xfId="0" applyFont="1"/>
    <xf numFmtId="0" fontId="37" fillId="0" borderId="5" xfId="0" applyFont="1" applyBorder="1"/>
    <xf numFmtId="49" fontId="35" fillId="0" borderId="5" xfId="0" applyNumberFormat="1" applyFont="1" applyBorder="1" applyAlignment="1">
      <alignment horizontal="right"/>
    </xf>
    <xf numFmtId="0" fontId="42" fillId="0" borderId="0" xfId="0" applyFont="1"/>
    <xf numFmtId="0" fontId="38" fillId="0" borderId="0" xfId="0" applyFont="1" applyAlignment="1">
      <alignment horizontal="left" vertical="center"/>
    </xf>
    <xf numFmtId="0" fontId="35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vertical="center"/>
    </xf>
    <xf numFmtId="0" fontId="35" fillId="0" borderId="4" xfId="0" applyFont="1" applyBorder="1" applyAlignment="1">
      <alignment horizontal="right" vertical="center"/>
    </xf>
    <xf numFmtId="0" fontId="39" fillId="0" borderId="0" xfId="0" applyFont="1" applyAlignment="1" applyProtection="1">
      <alignment horizontal="left"/>
      <protection locked="0"/>
    </xf>
    <xf numFmtId="164" fontId="35" fillId="0" borderId="0" xfId="0" applyNumberFormat="1" applyFont="1" applyAlignment="1" applyProtection="1">
      <alignment horizontal="center"/>
      <protection locked="0"/>
    </xf>
    <xf numFmtId="0" fontId="35" fillId="0" borderId="0" xfId="0" applyFont="1" applyAlignment="1">
      <alignment horizontal="center"/>
    </xf>
    <xf numFmtId="167" fontId="35" fillId="0" borderId="0" xfId="0" applyNumberFormat="1" applyFont="1" applyProtection="1">
      <protection locked="0"/>
    </xf>
    <xf numFmtId="0" fontId="0" fillId="0" borderId="5" xfId="0" applyBorder="1"/>
    <xf numFmtId="164" fontId="43" fillId="0" borderId="0" xfId="0" applyNumberFormat="1" applyFont="1"/>
    <xf numFmtId="164" fontId="37" fillId="0" borderId="0" xfId="0" applyNumberFormat="1" applyFont="1"/>
    <xf numFmtId="164" fontId="35" fillId="0" borderId="5" xfId="0" applyNumberFormat="1" applyFont="1" applyBorder="1"/>
    <xf numFmtId="164" fontId="41" fillId="0" borderId="4" xfId="0" applyNumberFormat="1" applyFont="1" applyBorder="1"/>
    <xf numFmtId="165" fontId="0" fillId="0" borderId="0" xfId="0" applyNumberFormat="1"/>
    <xf numFmtId="0" fontId="36" fillId="0" borderId="0" xfId="0" applyFont="1" applyAlignment="1">
      <alignment horizontal="left"/>
    </xf>
    <xf numFmtId="0" fontId="46" fillId="0" borderId="0" xfId="0" applyFont="1" applyProtection="1">
      <protection locked="0"/>
    </xf>
    <xf numFmtId="0" fontId="45" fillId="0" borderId="0" xfId="0" applyFont="1" applyAlignment="1" applyProtection="1">
      <alignment horizontal="left"/>
      <protection locked="0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 applyProtection="1">
      <alignment horizontal="center" vertical="center"/>
      <protection locked="0"/>
    </xf>
    <xf numFmtId="0" fontId="37" fillId="0" borderId="0" xfId="0" applyFont="1"/>
    <xf numFmtId="49" fontId="35" fillId="0" borderId="0" xfId="0" applyNumberFormat="1" applyFont="1" applyAlignment="1">
      <alignment horizontal="right"/>
    </xf>
    <xf numFmtId="164" fontId="35" fillId="0" borderId="0" xfId="0" applyNumberFormat="1" applyFont="1"/>
    <xf numFmtId="0" fontId="36" fillId="0" borderId="0" xfId="0" applyFont="1"/>
    <xf numFmtId="0" fontId="36" fillId="0" borderId="0" xfId="0" applyFont="1" applyAlignment="1">
      <alignment horizontal="right"/>
    </xf>
    <xf numFmtId="164" fontId="47" fillId="0" borderId="0" xfId="0" applyNumberFormat="1" applyFont="1"/>
    <xf numFmtId="0" fontId="23" fillId="0" borderId="0" xfId="1" applyFont="1" applyBorder="1" applyAlignment="1" applyProtection="1"/>
    <xf numFmtId="0" fontId="40" fillId="0" borderId="0" xfId="0" applyFont="1"/>
    <xf numFmtId="164" fontId="41" fillId="0" borderId="0" xfId="0" applyNumberFormat="1" applyFont="1"/>
    <xf numFmtId="0" fontId="21" fillId="0" borderId="0" xfId="0" applyFont="1" applyAlignment="1" applyProtection="1">
      <alignment horizontal="center"/>
      <protection locked="0"/>
    </xf>
    <xf numFmtId="0" fontId="39" fillId="0" borderId="0" xfId="0" applyFont="1" applyProtection="1">
      <protection locked="0"/>
    </xf>
    <xf numFmtId="0" fontId="35" fillId="0" borderId="4" xfId="0" applyFont="1" applyBorder="1" applyAlignment="1">
      <alignment horizontal="left" vertical="center"/>
    </xf>
    <xf numFmtId="14" fontId="35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wrapText="1"/>
    </xf>
    <xf numFmtId="0" fontId="48" fillId="0" borderId="0" xfId="0" applyFont="1"/>
    <xf numFmtId="0" fontId="3" fillId="0" borderId="0" xfId="0" applyFont="1" applyAlignment="1" applyProtection="1">
      <alignment horizontal="left"/>
      <protection locked="0"/>
    </xf>
    <xf numFmtId="2" fontId="37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4" fontId="37" fillId="0" borderId="0" xfId="0" applyNumberFormat="1" applyFont="1" applyAlignment="1">
      <alignment vertical="center"/>
    </xf>
    <xf numFmtId="49" fontId="37" fillId="0" borderId="0" xfId="0" applyNumberFormat="1" applyFont="1" applyAlignment="1">
      <alignment horizontal="left" vertical="center"/>
    </xf>
    <xf numFmtId="2" fontId="37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23" fillId="0" borderId="0" xfId="0" applyFont="1" applyAlignment="1">
      <alignment horizontal="left"/>
    </xf>
    <xf numFmtId="17" fontId="34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4" xfId="0" applyFont="1" applyBorder="1" applyAlignment="1">
      <alignment horizontal="center" vertical="center"/>
    </xf>
    <xf numFmtId="0" fontId="39" fillId="0" borderId="0" xfId="0" applyFont="1" applyAlignment="1" applyProtection="1">
      <alignment horizontal="left"/>
      <protection locked="0"/>
    </xf>
    <xf numFmtId="0" fontId="36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horizontal="left" wrapText="1"/>
    </xf>
    <xf numFmtId="0" fontId="26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68" fontId="15" fillId="0" borderId="0" xfId="2" applyNumberFormat="1" applyFont="1" applyBorder="1" applyAlignment="1" applyProtection="1">
      <alignment horizontal="right"/>
    </xf>
    <xf numFmtId="0" fontId="3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7" fillId="0" borderId="0" xfId="0" applyFont="1" applyAlignment="1" applyProtection="1">
      <alignment horizontal="left"/>
      <protection locked="0"/>
    </xf>
    <xf numFmtId="0" fontId="27" fillId="0" borderId="0" xfId="0" applyFont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28" fillId="0" borderId="0" xfId="0" applyFont="1" applyAlignment="1">
      <alignment horizontal="left"/>
    </xf>
    <xf numFmtId="0" fontId="21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horizontal="right"/>
    </xf>
    <xf numFmtId="49" fontId="22" fillId="0" borderId="0" xfId="0" applyNumberFormat="1" applyFont="1" applyAlignment="1" applyProtection="1">
      <alignment horizontal="right"/>
      <protection locked="0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0" fontId="45" fillId="0" borderId="0" xfId="0" applyFont="1" applyAlignment="1" applyProtection="1">
      <alignment horizontal="left"/>
      <protection locked="0"/>
    </xf>
    <xf numFmtId="0" fontId="1" fillId="0" borderId="0" xfId="0" applyFont="1"/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57150</xdr:rowOff>
    </xdr:from>
    <xdr:to>
      <xdr:col>3</xdr:col>
      <xdr:colOff>256465</xdr:colOff>
      <xdr:row>5</xdr:row>
      <xdr:rowOff>22725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" y="57150"/>
          <a:ext cx="2170989" cy="108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114301</xdr:rowOff>
    </xdr:from>
    <xdr:to>
      <xdr:col>0</xdr:col>
      <xdr:colOff>180000</xdr:colOff>
      <xdr:row>15</xdr:row>
      <xdr:rowOff>115603</xdr:rowOff>
    </xdr:to>
    <xdr:cxnSp macro="">
      <xdr:nvCxnSpPr>
        <xdr:cNvPr id="2" name="Gerade Verbindung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>
          <a:cxnSpLocks noChangeAspect="1"/>
        </xdr:cNvCxnSpPr>
      </xdr:nvCxnSpPr>
      <xdr:spPr>
        <a:xfrm>
          <a:off x="0" y="3019426"/>
          <a:ext cx="180000" cy="1302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"/>
  <sheetViews>
    <sheetView tabSelected="1" workbookViewId="0">
      <pane xSplit="7" ySplit="2" topLeftCell="J120" activePane="bottomRight" state="frozen"/>
      <selection pane="topRight" activeCell="H1" sqref="H1"/>
      <selection pane="bottomLeft" activeCell="A3" sqref="A3"/>
      <selection pane="bottomRight" activeCell="B143" sqref="B143"/>
    </sheetView>
  </sheetViews>
  <sheetFormatPr baseColWidth="10" defaultRowHeight="15"/>
  <cols>
    <col min="1" max="1" width="16.140625" customWidth="1"/>
    <col min="2" max="2" width="28.5703125" customWidth="1"/>
    <col min="3" max="3" width="25.5703125" customWidth="1"/>
    <col min="4" max="4" width="28.42578125" customWidth="1"/>
    <col min="5" max="5" width="30.42578125" customWidth="1"/>
    <col min="6" max="6" width="21.5703125" customWidth="1"/>
    <col min="7" max="7" width="18.5703125" customWidth="1"/>
  </cols>
  <sheetData>
    <row r="1" spans="1:7">
      <c r="A1" s="121" t="s">
        <v>3</v>
      </c>
      <c r="B1" s="121" t="s">
        <v>4</v>
      </c>
      <c r="C1" s="121" t="s">
        <v>5</v>
      </c>
      <c r="D1" s="121" t="s">
        <v>5</v>
      </c>
      <c r="E1" s="121" t="s">
        <v>6</v>
      </c>
      <c r="F1" s="121" t="s">
        <v>7</v>
      </c>
      <c r="G1" s="121" t="s">
        <v>8</v>
      </c>
    </row>
    <row r="2" spans="1:7" ht="15.75" thickBot="1">
      <c r="A2" s="122"/>
      <c r="B2" s="122"/>
      <c r="C2" s="122"/>
      <c r="D2" s="122"/>
      <c r="E2" s="122"/>
      <c r="F2" s="122"/>
      <c r="G2" s="121"/>
    </row>
    <row r="3" spans="1:7">
      <c r="A3">
        <v>100</v>
      </c>
      <c r="B3" s="3" t="s">
        <v>9</v>
      </c>
      <c r="C3" s="3"/>
      <c r="D3" s="3"/>
      <c r="E3" s="3" t="s">
        <v>10</v>
      </c>
      <c r="F3" s="3" t="s">
        <v>11</v>
      </c>
      <c r="G3" s="3" t="s">
        <v>12</v>
      </c>
    </row>
    <row r="4" spans="1:7">
      <c r="A4">
        <f>IF(ISBLANK(B3),"",A3+1)</f>
        <v>101</v>
      </c>
      <c r="B4" s="3" t="s">
        <v>13</v>
      </c>
      <c r="C4" s="3" t="s">
        <v>14</v>
      </c>
      <c r="D4" s="3"/>
      <c r="E4" s="3" t="s">
        <v>15</v>
      </c>
      <c r="F4" s="3" t="s">
        <v>16</v>
      </c>
      <c r="G4" s="3" t="s">
        <v>17</v>
      </c>
    </row>
    <row r="5" spans="1:7">
      <c r="A5">
        <f>IF(ISBLANK(B4),"",A4+1)</f>
        <v>102</v>
      </c>
      <c r="B5" s="3" t="s">
        <v>18</v>
      </c>
      <c r="C5" s="3"/>
      <c r="D5" s="3"/>
      <c r="E5" s="3" t="s">
        <v>138</v>
      </c>
      <c r="F5" s="3" t="s">
        <v>19</v>
      </c>
      <c r="G5" s="3" t="s">
        <v>20</v>
      </c>
    </row>
    <row r="6" spans="1:7">
      <c r="A6">
        <f>IF(ISBLANK(B5),"",A5+1)</f>
        <v>103</v>
      </c>
      <c r="B6" s="3" t="s">
        <v>21</v>
      </c>
      <c r="C6" s="3" t="s">
        <v>22</v>
      </c>
      <c r="E6" s="3" t="s">
        <v>23</v>
      </c>
      <c r="F6" s="3" t="s">
        <v>24</v>
      </c>
      <c r="G6" s="3" t="s">
        <v>25</v>
      </c>
    </row>
    <row r="7" spans="1:7">
      <c r="A7">
        <f>IF(ISBLANK(#REF!),"",A6+1)</f>
        <v>104</v>
      </c>
      <c r="B7" s="3" t="s">
        <v>26</v>
      </c>
      <c r="C7" s="3" t="s">
        <v>27</v>
      </c>
      <c r="D7" s="3"/>
      <c r="E7" s="3" t="s">
        <v>28</v>
      </c>
      <c r="F7" s="3" t="s">
        <v>29</v>
      </c>
      <c r="G7" s="3" t="s">
        <v>30</v>
      </c>
    </row>
    <row r="8" spans="1:7">
      <c r="A8">
        <f t="shared" ref="A8:A71" si="0">IF(ISBLANK(B7),"",A7+1)</f>
        <v>105</v>
      </c>
      <c r="B8" s="3" t="s">
        <v>31</v>
      </c>
      <c r="C8" s="3" t="s">
        <v>32</v>
      </c>
      <c r="D8" s="3"/>
      <c r="E8" s="3" t="s">
        <v>33</v>
      </c>
      <c r="F8" s="3" t="s">
        <v>34</v>
      </c>
      <c r="G8" s="3" t="s">
        <v>35</v>
      </c>
    </row>
    <row r="9" spans="1:7">
      <c r="A9">
        <f t="shared" si="0"/>
        <v>106</v>
      </c>
      <c r="B9" s="3" t="s">
        <v>36</v>
      </c>
      <c r="C9" s="3" t="s">
        <v>37</v>
      </c>
      <c r="E9" s="3" t="s">
        <v>38</v>
      </c>
      <c r="F9" s="3" t="s">
        <v>39</v>
      </c>
      <c r="G9" s="3" t="s">
        <v>40</v>
      </c>
    </row>
    <row r="10" spans="1:7">
      <c r="A10">
        <f t="shared" si="0"/>
        <v>107</v>
      </c>
      <c r="B10" s="4" t="s">
        <v>41</v>
      </c>
      <c r="C10" s="3"/>
      <c r="E10" s="3" t="s">
        <v>43</v>
      </c>
      <c r="F10" s="3" t="s">
        <v>44</v>
      </c>
      <c r="G10" s="3" t="s">
        <v>72</v>
      </c>
    </row>
    <row r="11" spans="1:7">
      <c r="A11">
        <f t="shared" si="0"/>
        <v>108</v>
      </c>
      <c r="B11" s="4" t="s">
        <v>45</v>
      </c>
      <c r="C11" s="4" t="s">
        <v>46</v>
      </c>
      <c r="E11" s="4" t="s">
        <v>47</v>
      </c>
      <c r="F11" s="4" t="s">
        <v>48</v>
      </c>
      <c r="G11" s="4" t="s">
        <v>49</v>
      </c>
    </row>
    <row r="12" spans="1:7">
      <c r="A12">
        <f t="shared" si="0"/>
        <v>109</v>
      </c>
      <c r="B12" s="4" t="s">
        <v>50</v>
      </c>
      <c r="C12" s="4" t="s">
        <v>42</v>
      </c>
      <c r="E12" s="4" t="s">
        <v>51</v>
      </c>
      <c r="F12" s="4" t="s">
        <v>52</v>
      </c>
      <c r="G12" s="4" t="s">
        <v>53</v>
      </c>
    </row>
    <row r="13" spans="1:7">
      <c r="A13">
        <f t="shared" si="0"/>
        <v>110</v>
      </c>
      <c r="B13" s="4" t="s">
        <v>54</v>
      </c>
      <c r="C13" s="4" t="s">
        <v>55</v>
      </c>
      <c r="E13" s="4" t="s">
        <v>56</v>
      </c>
      <c r="F13" s="4" t="s">
        <v>57</v>
      </c>
      <c r="G13" s="4" t="s">
        <v>58</v>
      </c>
    </row>
    <row r="14" spans="1:7">
      <c r="A14">
        <f t="shared" si="0"/>
        <v>111</v>
      </c>
      <c r="B14" t="s">
        <v>59</v>
      </c>
      <c r="C14" s="5" t="s">
        <v>60</v>
      </c>
      <c r="D14" s="4"/>
      <c r="E14" t="s">
        <v>61</v>
      </c>
      <c r="F14" s="5" t="s">
        <v>62</v>
      </c>
      <c r="G14" s="5" t="s">
        <v>63</v>
      </c>
    </row>
    <row r="15" spans="1:7">
      <c r="A15">
        <f t="shared" si="0"/>
        <v>112</v>
      </c>
      <c r="B15" s="4" t="s">
        <v>64</v>
      </c>
      <c r="C15" s="4" t="s">
        <v>65</v>
      </c>
      <c r="E15" s="4" t="s">
        <v>66</v>
      </c>
      <c r="F15" s="4" t="s">
        <v>67</v>
      </c>
      <c r="G15" s="4" t="s">
        <v>68</v>
      </c>
    </row>
    <row r="16" spans="1:7">
      <c r="A16">
        <f t="shared" si="0"/>
        <v>113</v>
      </c>
      <c r="B16" s="4" t="s">
        <v>69</v>
      </c>
      <c r="E16" s="4" t="s">
        <v>70</v>
      </c>
      <c r="F16" s="4" t="s">
        <v>71</v>
      </c>
      <c r="G16" s="4" t="s">
        <v>72</v>
      </c>
    </row>
    <row r="17" spans="1:7">
      <c r="A17">
        <f t="shared" si="0"/>
        <v>114</v>
      </c>
      <c r="B17" s="4" t="s">
        <v>73</v>
      </c>
      <c r="E17" s="4" t="s">
        <v>74</v>
      </c>
      <c r="F17" s="4" t="s">
        <v>75</v>
      </c>
      <c r="G17" s="4" t="s">
        <v>72</v>
      </c>
    </row>
    <row r="18" spans="1:7">
      <c r="A18">
        <f t="shared" si="0"/>
        <v>115</v>
      </c>
      <c r="B18" s="4" t="s">
        <v>76</v>
      </c>
      <c r="C18" t="s">
        <v>77</v>
      </c>
      <c r="E18" s="4" t="s">
        <v>78</v>
      </c>
      <c r="F18" s="4" t="s">
        <v>79</v>
      </c>
      <c r="G18" s="4" t="s">
        <v>72</v>
      </c>
    </row>
    <row r="19" spans="1:7">
      <c r="A19">
        <f t="shared" si="0"/>
        <v>116</v>
      </c>
      <c r="B19" s="4" t="s">
        <v>80</v>
      </c>
      <c r="E19" s="4" t="s">
        <v>81</v>
      </c>
      <c r="F19" s="4" t="s">
        <v>11</v>
      </c>
      <c r="G19" s="4" t="s">
        <v>72</v>
      </c>
    </row>
    <row r="20" spans="1:7">
      <c r="A20">
        <f t="shared" si="0"/>
        <v>117</v>
      </c>
      <c r="B20" s="4" t="s">
        <v>82</v>
      </c>
      <c r="E20" s="4" t="s">
        <v>83</v>
      </c>
      <c r="F20" s="4" t="s">
        <v>84</v>
      </c>
      <c r="G20" s="4" t="s">
        <v>72</v>
      </c>
    </row>
    <row r="21" spans="1:7">
      <c r="A21">
        <f t="shared" si="0"/>
        <v>118</v>
      </c>
      <c r="B21" s="4" t="s">
        <v>85</v>
      </c>
      <c r="E21" s="4" t="s">
        <v>86</v>
      </c>
      <c r="F21" s="4" t="s">
        <v>87</v>
      </c>
      <c r="G21" s="4" t="s">
        <v>88</v>
      </c>
    </row>
    <row r="22" spans="1:7">
      <c r="A22">
        <f t="shared" si="0"/>
        <v>119</v>
      </c>
      <c r="B22" s="4" t="s">
        <v>89</v>
      </c>
      <c r="C22" t="s">
        <v>90</v>
      </c>
      <c r="E22" s="4" t="s">
        <v>91</v>
      </c>
      <c r="F22" s="4" t="s">
        <v>92</v>
      </c>
      <c r="G22" s="4" t="s">
        <v>93</v>
      </c>
    </row>
    <row r="23" spans="1:7">
      <c r="A23">
        <f t="shared" si="0"/>
        <v>120</v>
      </c>
      <c r="B23" s="4" t="s">
        <v>94</v>
      </c>
      <c r="E23" s="4" t="s">
        <v>95</v>
      </c>
      <c r="F23" s="4" t="s">
        <v>96</v>
      </c>
      <c r="G23" s="4" t="s">
        <v>72</v>
      </c>
    </row>
    <row r="24" spans="1:7">
      <c r="A24">
        <f t="shared" si="0"/>
        <v>121</v>
      </c>
      <c r="B24" s="4" t="s">
        <v>182</v>
      </c>
      <c r="E24" s="4" t="s">
        <v>189</v>
      </c>
      <c r="F24" s="4" t="s">
        <v>97</v>
      </c>
      <c r="G24" s="4" t="s">
        <v>72</v>
      </c>
    </row>
    <row r="25" spans="1:7">
      <c r="A25">
        <f t="shared" si="0"/>
        <v>122</v>
      </c>
      <c r="B25" s="4" t="s">
        <v>121</v>
      </c>
      <c r="E25" s="4" t="s">
        <v>122</v>
      </c>
      <c r="F25" s="4" t="s">
        <v>123</v>
      </c>
      <c r="G25" s="4" t="s">
        <v>72</v>
      </c>
    </row>
    <row r="26" spans="1:7">
      <c r="A26">
        <f t="shared" si="0"/>
        <v>123</v>
      </c>
      <c r="B26" s="4" t="s">
        <v>127</v>
      </c>
      <c r="E26" s="4" t="s">
        <v>128</v>
      </c>
      <c r="F26" s="4" t="s">
        <v>129</v>
      </c>
      <c r="G26" s="4" t="s">
        <v>72</v>
      </c>
    </row>
    <row r="27" spans="1:7">
      <c r="A27">
        <f>IF(ISBLANK(B27),"",A26+1)</f>
        <v>124</v>
      </c>
      <c r="B27" s="4" t="s">
        <v>124</v>
      </c>
      <c r="E27" s="4" t="s">
        <v>125</v>
      </c>
      <c r="F27" t="s">
        <v>126</v>
      </c>
      <c r="G27" s="4" t="s">
        <v>72</v>
      </c>
    </row>
    <row r="28" spans="1:7">
      <c r="A28">
        <f>IF(ISBLANK(#REF!),"",A27+1)</f>
        <v>125</v>
      </c>
      <c r="B28" s="4" t="s">
        <v>130</v>
      </c>
      <c r="E28" s="4" t="s">
        <v>131</v>
      </c>
      <c r="F28" s="4" t="s">
        <v>132</v>
      </c>
      <c r="G28" s="4" t="s">
        <v>72</v>
      </c>
    </row>
    <row r="29" spans="1:7">
      <c r="A29">
        <f t="shared" si="0"/>
        <v>126</v>
      </c>
      <c r="B29" s="4" t="s">
        <v>133</v>
      </c>
      <c r="C29" t="s">
        <v>134</v>
      </c>
      <c r="E29" s="4" t="s">
        <v>135</v>
      </c>
      <c r="F29" s="4" t="s">
        <v>136</v>
      </c>
      <c r="G29" s="4" t="s">
        <v>137</v>
      </c>
    </row>
    <row r="30" spans="1:7">
      <c r="A30">
        <f t="shared" si="0"/>
        <v>127</v>
      </c>
      <c r="B30" s="4" t="s">
        <v>139</v>
      </c>
      <c r="E30" s="4" t="s">
        <v>140</v>
      </c>
      <c r="F30" s="4" t="s">
        <v>141</v>
      </c>
      <c r="G30" s="4" t="s">
        <v>72</v>
      </c>
    </row>
    <row r="31" spans="1:7">
      <c r="A31">
        <f t="shared" si="0"/>
        <v>128</v>
      </c>
      <c r="B31" s="4" t="s">
        <v>142</v>
      </c>
      <c r="C31" t="s">
        <v>143</v>
      </c>
      <c r="E31" s="4" t="s">
        <v>144</v>
      </c>
      <c r="F31" s="4" t="s">
        <v>145</v>
      </c>
      <c r="G31" s="4" t="s">
        <v>146</v>
      </c>
    </row>
    <row r="32" spans="1:7">
      <c r="A32">
        <f t="shared" si="0"/>
        <v>129</v>
      </c>
      <c r="B32" s="4" t="s">
        <v>151</v>
      </c>
      <c r="E32" s="4" t="s">
        <v>147</v>
      </c>
      <c r="F32" s="4" t="s">
        <v>2</v>
      </c>
    </row>
    <row r="33" spans="1:7">
      <c r="A33">
        <f t="shared" si="0"/>
        <v>130</v>
      </c>
      <c r="B33" s="4" t="s">
        <v>148</v>
      </c>
      <c r="E33" s="4" t="s">
        <v>149</v>
      </c>
      <c r="F33" s="4" t="s">
        <v>150</v>
      </c>
    </row>
    <row r="34" spans="1:7">
      <c r="A34">
        <f t="shared" si="0"/>
        <v>131</v>
      </c>
      <c r="B34" s="4" t="s">
        <v>157</v>
      </c>
      <c r="E34" s="4" t="s">
        <v>152</v>
      </c>
      <c r="F34" s="4" t="s">
        <v>153</v>
      </c>
    </row>
    <row r="35" spans="1:7">
      <c r="A35">
        <f t="shared" si="0"/>
        <v>132</v>
      </c>
      <c r="B35" s="4" t="s">
        <v>154</v>
      </c>
      <c r="E35" s="4" t="s">
        <v>155</v>
      </c>
      <c r="F35" s="4" t="s">
        <v>156</v>
      </c>
      <c r="G35" s="4" t="s">
        <v>72</v>
      </c>
    </row>
    <row r="36" spans="1:7">
      <c r="A36">
        <f t="shared" si="0"/>
        <v>133</v>
      </c>
      <c r="B36" s="4" t="s">
        <v>158</v>
      </c>
      <c r="E36" s="4" t="s">
        <v>163</v>
      </c>
      <c r="F36" s="4" t="s">
        <v>164</v>
      </c>
      <c r="G36" t="s">
        <v>72</v>
      </c>
    </row>
    <row r="37" spans="1:7">
      <c r="A37">
        <f t="shared" si="0"/>
        <v>134</v>
      </c>
      <c r="B37" s="4" t="s">
        <v>165</v>
      </c>
      <c r="E37" s="4" t="s">
        <v>167</v>
      </c>
      <c r="F37" s="4" t="s">
        <v>166</v>
      </c>
      <c r="G37" s="4" t="s">
        <v>72</v>
      </c>
    </row>
    <row r="38" spans="1:7">
      <c r="A38">
        <f t="shared" si="0"/>
        <v>135</v>
      </c>
      <c r="B38" s="4" t="s">
        <v>168</v>
      </c>
      <c r="E38" s="4" t="s">
        <v>169</v>
      </c>
      <c r="F38" s="4" t="s">
        <v>97</v>
      </c>
      <c r="G38" s="4" t="s">
        <v>72</v>
      </c>
    </row>
    <row r="39" spans="1:7">
      <c r="A39">
        <f t="shared" si="0"/>
        <v>136</v>
      </c>
      <c r="B39" s="4" t="s">
        <v>171</v>
      </c>
      <c r="E39" s="4" t="s">
        <v>170</v>
      </c>
      <c r="F39" s="4" t="s">
        <v>97</v>
      </c>
      <c r="G39" s="4" t="s">
        <v>72</v>
      </c>
    </row>
    <row r="40" spans="1:7">
      <c r="A40">
        <f t="shared" si="0"/>
        <v>137</v>
      </c>
      <c r="B40" s="4" t="s">
        <v>172</v>
      </c>
      <c r="E40" s="4" t="s">
        <v>173</v>
      </c>
      <c r="F40" s="4" t="s">
        <v>97</v>
      </c>
      <c r="G40" s="4" t="s">
        <v>72</v>
      </c>
    </row>
    <row r="41" spans="1:7">
      <c r="A41">
        <f t="shared" si="0"/>
        <v>138</v>
      </c>
      <c r="B41" s="4" t="s">
        <v>175</v>
      </c>
      <c r="E41" s="4" t="s">
        <v>176</v>
      </c>
      <c r="F41" s="4" t="s">
        <v>97</v>
      </c>
      <c r="G41" s="4" t="s">
        <v>72</v>
      </c>
    </row>
    <row r="42" spans="1:7">
      <c r="A42">
        <f t="shared" si="0"/>
        <v>139</v>
      </c>
      <c r="B42" s="4" t="s">
        <v>177</v>
      </c>
      <c r="E42" s="4" t="s">
        <v>178</v>
      </c>
      <c r="F42" s="4" t="s">
        <v>97</v>
      </c>
      <c r="G42" s="4" t="s">
        <v>72</v>
      </c>
    </row>
    <row r="43" spans="1:7">
      <c r="A43">
        <f t="shared" si="0"/>
        <v>140</v>
      </c>
      <c r="B43" s="4" t="s">
        <v>179</v>
      </c>
      <c r="E43" s="4" t="s">
        <v>180</v>
      </c>
      <c r="F43" s="4" t="s">
        <v>181</v>
      </c>
    </row>
    <row r="44" spans="1:7">
      <c r="A44">
        <f t="shared" si="0"/>
        <v>141</v>
      </c>
      <c r="B44" s="4" t="s">
        <v>183</v>
      </c>
      <c r="E44" s="4" t="s">
        <v>184</v>
      </c>
      <c r="F44" s="4" t="s">
        <v>97</v>
      </c>
      <c r="G44" s="4" t="s">
        <v>72</v>
      </c>
    </row>
    <row r="45" spans="1:7">
      <c r="A45">
        <f t="shared" si="0"/>
        <v>142</v>
      </c>
      <c r="B45" s="4" t="s">
        <v>185</v>
      </c>
      <c r="E45" s="4" t="s">
        <v>188</v>
      </c>
      <c r="F45" s="4" t="s">
        <v>181</v>
      </c>
      <c r="G45" s="4" t="s">
        <v>72</v>
      </c>
    </row>
    <row r="46" spans="1:7">
      <c r="A46">
        <f t="shared" si="0"/>
        <v>143</v>
      </c>
      <c r="B46" s="4" t="s">
        <v>186</v>
      </c>
      <c r="E46" s="4" t="s">
        <v>187</v>
      </c>
      <c r="F46" s="4" t="s">
        <v>97</v>
      </c>
      <c r="G46" s="4" t="s">
        <v>72</v>
      </c>
    </row>
    <row r="47" spans="1:7">
      <c r="A47">
        <f t="shared" si="0"/>
        <v>144</v>
      </c>
      <c r="B47" s="4" t="s">
        <v>190</v>
      </c>
      <c r="E47" s="4" t="s">
        <v>191</v>
      </c>
      <c r="F47" s="4" t="s">
        <v>192</v>
      </c>
      <c r="G47" s="4" t="s">
        <v>72</v>
      </c>
    </row>
    <row r="48" spans="1:7">
      <c r="A48">
        <f t="shared" si="0"/>
        <v>145</v>
      </c>
      <c r="B48" s="4" t="s">
        <v>193</v>
      </c>
      <c r="E48" s="4" t="s">
        <v>194</v>
      </c>
      <c r="F48" s="4" t="s">
        <v>97</v>
      </c>
    </row>
    <row r="49" spans="1:7">
      <c r="A49">
        <f t="shared" si="0"/>
        <v>146</v>
      </c>
      <c r="B49" s="4" t="s">
        <v>198</v>
      </c>
      <c r="E49" s="4" t="s">
        <v>199</v>
      </c>
      <c r="F49" s="4" t="s">
        <v>97</v>
      </c>
      <c r="G49" s="4" t="s">
        <v>72</v>
      </c>
    </row>
    <row r="50" spans="1:7">
      <c r="A50">
        <f t="shared" si="0"/>
        <v>147</v>
      </c>
      <c r="B50" s="4" t="s">
        <v>216</v>
      </c>
      <c r="E50" s="4" t="s">
        <v>217</v>
      </c>
      <c r="F50" s="4" t="s">
        <v>218</v>
      </c>
      <c r="G50" s="4" t="s">
        <v>219</v>
      </c>
    </row>
    <row r="51" spans="1:7">
      <c r="A51">
        <f t="shared" si="0"/>
        <v>148</v>
      </c>
      <c r="B51" s="4" t="s">
        <v>220</v>
      </c>
      <c r="E51" s="4" t="s">
        <v>221</v>
      </c>
      <c r="F51" s="4" t="s">
        <v>222</v>
      </c>
      <c r="G51" s="4" t="s">
        <v>72</v>
      </c>
    </row>
    <row r="52" spans="1:7">
      <c r="A52">
        <f t="shared" si="0"/>
        <v>149</v>
      </c>
      <c r="B52" s="4" t="s">
        <v>223</v>
      </c>
      <c r="E52" s="4" t="s">
        <v>224</v>
      </c>
      <c r="F52" s="4" t="s">
        <v>97</v>
      </c>
      <c r="G52" s="4" t="s">
        <v>72</v>
      </c>
    </row>
    <row r="53" spans="1:7">
      <c r="A53">
        <f t="shared" si="0"/>
        <v>150</v>
      </c>
      <c r="B53" s="4" t="s">
        <v>225</v>
      </c>
      <c r="E53" s="4" t="s">
        <v>226</v>
      </c>
      <c r="F53" s="4" t="s">
        <v>164</v>
      </c>
      <c r="G53" s="4" t="s">
        <v>72</v>
      </c>
    </row>
    <row r="54" spans="1:7">
      <c r="A54">
        <f t="shared" si="0"/>
        <v>151</v>
      </c>
      <c r="B54" s="4" t="s">
        <v>227</v>
      </c>
      <c r="E54" s="4" t="s">
        <v>228</v>
      </c>
      <c r="F54" s="4" t="s">
        <v>229</v>
      </c>
      <c r="G54" s="4" t="s">
        <v>230</v>
      </c>
    </row>
    <row r="55" spans="1:7">
      <c r="A55">
        <f t="shared" si="0"/>
        <v>152</v>
      </c>
      <c r="B55" s="4" t="s">
        <v>231</v>
      </c>
      <c r="E55" s="4" t="s">
        <v>232</v>
      </c>
      <c r="F55" s="4" t="s">
        <v>97</v>
      </c>
      <c r="G55" s="4" t="s">
        <v>72</v>
      </c>
    </row>
    <row r="56" spans="1:7">
      <c r="A56">
        <f t="shared" si="0"/>
        <v>153</v>
      </c>
      <c r="B56" s="4" t="s">
        <v>233</v>
      </c>
      <c r="E56" s="4" t="s">
        <v>234</v>
      </c>
      <c r="F56" s="4" t="s">
        <v>97</v>
      </c>
      <c r="G56" s="4" t="s">
        <v>72</v>
      </c>
    </row>
    <row r="57" spans="1:7">
      <c r="A57">
        <f t="shared" si="0"/>
        <v>154</v>
      </c>
      <c r="B57" s="4" t="s">
        <v>235</v>
      </c>
      <c r="E57" s="4" t="s">
        <v>236</v>
      </c>
      <c r="F57" s="4" t="s">
        <v>87</v>
      </c>
      <c r="G57" s="4" t="s">
        <v>72</v>
      </c>
    </row>
    <row r="58" spans="1:7">
      <c r="A58">
        <f t="shared" si="0"/>
        <v>155</v>
      </c>
      <c r="B58" s="4" t="s">
        <v>237</v>
      </c>
      <c r="E58" s="4" t="s">
        <v>238</v>
      </c>
      <c r="F58" s="4" t="s">
        <v>239</v>
      </c>
      <c r="G58" s="4" t="s">
        <v>72</v>
      </c>
    </row>
    <row r="59" spans="1:7">
      <c r="A59">
        <f t="shared" si="0"/>
        <v>156</v>
      </c>
      <c r="B59" s="4" t="s">
        <v>245</v>
      </c>
      <c r="E59" s="4" t="s">
        <v>246</v>
      </c>
      <c r="F59" s="4" t="s">
        <v>247</v>
      </c>
      <c r="G59" s="4" t="s">
        <v>72</v>
      </c>
    </row>
    <row r="60" spans="1:7">
      <c r="A60">
        <f>IF(ISBLANK(B60),"",A59+1)</f>
        <v>157</v>
      </c>
      <c r="B60" s="4" t="s">
        <v>240</v>
      </c>
      <c r="E60" s="4" t="s">
        <v>241</v>
      </c>
      <c r="F60" s="4" t="s">
        <v>164</v>
      </c>
      <c r="G60" s="4" t="s">
        <v>72</v>
      </c>
    </row>
    <row r="61" spans="1:7">
      <c r="A61">
        <f>IF(ISBLANK(B61),"",A60+1)</f>
        <v>158</v>
      </c>
      <c r="B61" s="4" t="s">
        <v>242</v>
      </c>
      <c r="C61" t="s">
        <v>243</v>
      </c>
      <c r="E61" s="4" t="s">
        <v>244</v>
      </c>
      <c r="F61" s="4" t="s">
        <v>97</v>
      </c>
      <c r="G61" s="4" t="s">
        <v>72</v>
      </c>
    </row>
    <row r="62" spans="1:7">
      <c r="A62">
        <f>IF(ISBLANK(#REF!),"",A61+1)</f>
        <v>159</v>
      </c>
      <c r="B62" s="4" t="s">
        <v>248</v>
      </c>
      <c r="E62" s="4" t="s">
        <v>249</v>
      </c>
      <c r="F62" s="4" t="s">
        <v>247</v>
      </c>
      <c r="G62" s="4" t="s">
        <v>72</v>
      </c>
    </row>
    <row r="63" spans="1:7">
      <c r="A63">
        <f t="shared" si="0"/>
        <v>160</v>
      </c>
      <c r="B63" s="4" t="s">
        <v>250</v>
      </c>
      <c r="E63" s="4" t="s">
        <v>251</v>
      </c>
      <c r="F63" s="4" t="s">
        <v>239</v>
      </c>
      <c r="G63" s="4" t="s">
        <v>72</v>
      </c>
    </row>
    <row r="64" spans="1:7" ht="15" customHeight="1">
      <c r="A64">
        <f t="shared" si="0"/>
        <v>161</v>
      </c>
      <c r="B64" s="113" t="s">
        <v>277</v>
      </c>
      <c r="C64" t="s">
        <v>254</v>
      </c>
      <c r="E64" s="4" t="s">
        <v>253</v>
      </c>
      <c r="F64" s="4" t="s">
        <v>252</v>
      </c>
      <c r="G64" s="4" t="s">
        <v>72</v>
      </c>
    </row>
    <row r="65" spans="1:7">
      <c r="A65">
        <f t="shared" si="0"/>
        <v>162</v>
      </c>
      <c r="B65" s="4" t="s">
        <v>255</v>
      </c>
      <c r="E65" s="4" t="s">
        <v>256</v>
      </c>
      <c r="F65" s="4" t="s">
        <v>257</v>
      </c>
      <c r="G65" s="4" t="s">
        <v>72</v>
      </c>
    </row>
    <row r="66" spans="1:7">
      <c r="A66">
        <f t="shared" si="0"/>
        <v>163</v>
      </c>
      <c r="B66" s="4" t="s">
        <v>259</v>
      </c>
      <c r="C66" t="s">
        <v>295</v>
      </c>
      <c r="E66" s="4" t="s">
        <v>294</v>
      </c>
      <c r="F66" s="4" t="s">
        <v>257</v>
      </c>
      <c r="G66" s="114" t="s">
        <v>296</v>
      </c>
    </row>
    <row r="67" spans="1:7">
      <c r="A67">
        <f t="shared" si="0"/>
        <v>164</v>
      </c>
      <c r="B67" s="4" t="s">
        <v>260</v>
      </c>
      <c r="E67" s="4" t="s">
        <v>261</v>
      </c>
      <c r="F67" s="4" t="s">
        <v>87</v>
      </c>
      <c r="G67" s="4" t="s">
        <v>72</v>
      </c>
    </row>
    <row r="68" spans="1:7">
      <c r="A68">
        <f t="shared" si="0"/>
        <v>165</v>
      </c>
      <c r="B68" s="4" t="s">
        <v>262</v>
      </c>
      <c r="E68" s="4" t="s">
        <v>263</v>
      </c>
      <c r="F68" s="4" t="s">
        <v>87</v>
      </c>
      <c r="G68" s="4" t="s">
        <v>72</v>
      </c>
    </row>
    <row r="69" spans="1:7">
      <c r="A69">
        <f t="shared" si="0"/>
        <v>166</v>
      </c>
      <c r="B69" s="4" t="s">
        <v>265</v>
      </c>
      <c r="E69" s="4" t="s">
        <v>266</v>
      </c>
      <c r="F69" s="4" t="s">
        <v>239</v>
      </c>
      <c r="G69" s="4" t="s">
        <v>72</v>
      </c>
    </row>
    <row r="70" spans="1:7">
      <c r="A70">
        <f t="shared" si="0"/>
        <v>167</v>
      </c>
      <c r="B70" s="4" t="s">
        <v>264</v>
      </c>
      <c r="E70" s="4" t="s">
        <v>236</v>
      </c>
      <c r="F70" s="4" t="s">
        <v>87</v>
      </c>
      <c r="G70" s="4" t="s">
        <v>72</v>
      </c>
    </row>
    <row r="71" spans="1:7">
      <c r="A71">
        <f t="shared" si="0"/>
        <v>168</v>
      </c>
      <c r="B71" s="4" t="s">
        <v>267</v>
      </c>
      <c r="F71" s="4" t="s">
        <v>24</v>
      </c>
      <c r="G71" s="4" t="s">
        <v>72</v>
      </c>
    </row>
    <row r="72" spans="1:7">
      <c r="A72">
        <f t="shared" ref="A72:A75" si="1">IF(ISBLANK(B71),"",A71+1)</f>
        <v>169</v>
      </c>
      <c r="B72" s="4" t="s">
        <v>268</v>
      </c>
      <c r="E72" s="4" t="s">
        <v>269</v>
      </c>
      <c r="F72" s="4" t="s">
        <v>270</v>
      </c>
      <c r="G72" s="4" t="s">
        <v>271</v>
      </c>
    </row>
    <row r="73" spans="1:7">
      <c r="A73">
        <f t="shared" si="1"/>
        <v>170</v>
      </c>
      <c r="B73" s="4" t="s">
        <v>272</v>
      </c>
      <c r="E73" s="4" t="s">
        <v>273</v>
      </c>
      <c r="F73" s="4" t="s">
        <v>239</v>
      </c>
      <c r="G73" s="4" t="s">
        <v>72</v>
      </c>
    </row>
    <row r="74" spans="1:7">
      <c r="A74">
        <f t="shared" si="1"/>
        <v>171</v>
      </c>
      <c r="B74" s="4" t="s">
        <v>274</v>
      </c>
      <c r="E74" s="4" t="s">
        <v>275</v>
      </c>
      <c r="F74" s="4" t="s">
        <v>276</v>
      </c>
      <c r="G74" s="4" t="s">
        <v>72</v>
      </c>
    </row>
    <row r="75" spans="1:7">
      <c r="A75">
        <f t="shared" si="1"/>
        <v>172</v>
      </c>
      <c r="B75" s="4" t="s">
        <v>280</v>
      </c>
      <c r="E75" s="4" t="s">
        <v>167</v>
      </c>
      <c r="F75" s="4" t="s">
        <v>166</v>
      </c>
      <c r="G75" s="4" t="s">
        <v>72</v>
      </c>
    </row>
    <row r="76" spans="1:7">
      <c r="A76">
        <v>173</v>
      </c>
      <c r="B76" s="4" t="s">
        <v>278</v>
      </c>
      <c r="E76" s="4" t="s">
        <v>279</v>
      </c>
      <c r="F76" s="4" t="s">
        <v>97</v>
      </c>
      <c r="G76" s="4" t="s">
        <v>72</v>
      </c>
    </row>
    <row r="77" spans="1:7">
      <c r="A77">
        <v>174</v>
      </c>
      <c r="B77" s="4" t="s">
        <v>281</v>
      </c>
      <c r="E77" s="4" t="s">
        <v>282</v>
      </c>
      <c r="F77" s="4" t="s">
        <v>97</v>
      </c>
      <c r="G77" s="4" t="s">
        <v>283</v>
      </c>
    </row>
    <row r="78" spans="1:7">
      <c r="A78">
        <v>175</v>
      </c>
      <c r="B78" s="4" t="s">
        <v>284</v>
      </c>
      <c r="E78" s="4" t="s">
        <v>285</v>
      </c>
      <c r="F78" s="4" t="s">
        <v>97</v>
      </c>
      <c r="G78" s="4" t="s">
        <v>286</v>
      </c>
    </row>
    <row r="79" spans="1:7">
      <c r="A79">
        <v>176</v>
      </c>
      <c r="B79" s="4" t="s">
        <v>287</v>
      </c>
      <c r="E79" s="4" t="s">
        <v>288</v>
      </c>
      <c r="F79" s="4" t="s">
        <v>239</v>
      </c>
      <c r="G79" s="4" t="s">
        <v>289</v>
      </c>
    </row>
    <row r="80" spans="1:7">
      <c r="A80">
        <f>IF(ISBLANK(B79),"",A79+1)</f>
        <v>177</v>
      </c>
      <c r="B80" s="4" t="s">
        <v>290</v>
      </c>
      <c r="E80" t="s">
        <v>291</v>
      </c>
      <c r="F80" s="4" t="s">
        <v>24</v>
      </c>
      <c r="G80" s="4" t="s">
        <v>72</v>
      </c>
    </row>
    <row r="81" spans="1:7">
      <c r="A81">
        <f t="shared" ref="A81:A144" si="2">IF(ISBLANK(B80),"",A80+1)</f>
        <v>178</v>
      </c>
      <c r="B81" s="4" t="s">
        <v>292</v>
      </c>
      <c r="E81" t="s">
        <v>293</v>
      </c>
      <c r="F81" s="4" t="s">
        <v>24</v>
      </c>
    </row>
    <row r="82" spans="1:7">
      <c r="A82">
        <f t="shared" si="2"/>
        <v>179</v>
      </c>
      <c r="B82" s="4" t="s">
        <v>297</v>
      </c>
      <c r="F82" s="4" t="s">
        <v>11</v>
      </c>
      <c r="G82" s="4" t="s">
        <v>72</v>
      </c>
    </row>
    <row r="83" spans="1:7">
      <c r="A83">
        <f t="shared" si="2"/>
        <v>180</v>
      </c>
      <c r="B83" s="4" t="s">
        <v>298</v>
      </c>
      <c r="F83" s="4" t="s">
        <v>247</v>
      </c>
      <c r="G83" s="4" t="s">
        <v>72</v>
      </c>
    </row>
    <row r="84" spans="1:7">
      <c r="A84">
        <f t="shared" si="2"/>
        <v>181</v>
      </c>
      <c r="B84" s="4" t="s">
        <v>299</v>
      </c>
      <c r="C84" t="s">
        <v>300</v>
      </c>
      <c r="E84" t="s">
        <v>301</v>
      </c>
      <c r="F84" s="4" t="s">
        <v>302</v>
      </c>
      <c r="G84" s="4" t="s">
        <v>303</v>
      </c>
    </row>
    <row r="85" spans="1:7">
      <c r="A85">
        <f t="shared" si="2"/>
        <v>182</v>
      </c>
      <c r="B85" s="4" t="s">
        <v>304</v>
      </c>
      <c r="E85" t="s">
        <v>305</v>
      </c>
      <c r="F85" s="4" t="s">
        <v>302</v>
      </c>
    </row>
    <row r="86" spans="1:7">
      <c r="A86">
        <f t="shared" si="2"/>
        <v>183</v>
      </c>
      <c r="B86" s="4" t="s">
        <v>306</v>
      </c>
      <c r="E86" t="s">
        <v>307</v>
      </c>
      <c r="F86" s="4" t="s">
        <v>239</v>
      </c>
      <c r="G86" s="4" t="s">
        <v>72</v>
      </c>
    </row>
    <row r="87" spans="1:7">
      <c r="A87">
        <f t="shared" si="2"/>
        <v>184</v>
      </c>
      <c r="B87" s="4" t="s">
        <v>308</v>
      </c>
      <c r="E87" t="s">
        <v>309</v>
      </c>
      <c r="F87" s="4" t="s">
        <v>166</v>
      </c>
      <c r="G87" s="4" t="s">
        <v>72</v>
      </c>
    </row>
    <row r="88" spans="1:7">
      <c r="A88">
        <f t="shared" si="2"/>
        <v>185</v>
      </c>
      <c r="B88" s="4" t="s">
        <v>310</v>
      </c>
      <c r="E88" t="s">
        <v>311</v>
      </c>
      <c r="F88" s="4" t="s">
        <v>312</v>
      </c>
      <c r="G88" s="4" t="s">
        <v>72</v>
      </c>
    </row>
    <row r="89" spans="1:7">
      <c r="A89">
        <f t="shared" si="2"/>
        <v>186</v>
      </c>
      <c r="B89" s="4" t="s">
        <v>313</v>
      </c>
      <c r="E89" t="s">
        <v>316</v>
      </c>
      <c r="F89" s="4" t="s">
        <v>97</v>
      </c>
      <c r="G89" s="4" t="s">
        <v>72</v>
      </c>
    </row>
    <row r="90" spans="1:7">
      <c r="A90">
        <f t="shared" si="2"/>
        <v>187</v>
      </c>
      <c r="B90" s="4" t="s">
        <v>314</v>
      </c>
      <c r="E90" t="s">
        <v>317</v>
      </c>
      <c r="F90" s="4" t="s">
        <v>239</v>
      </c>
      <c r="G90" s="4" t="s">
        <v>72</v>
      </c>
    </row>
    <row r="91" spans="1:7">
      <c r="A91">
        <f t="shared" si="2"/>
        <v>188</v>
      </c>
      <c r="B91" s="4" t="s">
        <v>315</v>
      </c>
      <c r="E91" t="s">
        <v>318</v>
      </c>
      <c r="F91" s="4" t="s">
        <v>302</v>
      </c>
      <c r="G91" s="4" t="s">
        <v>72</v>
      </c>
    </row>
    <row r="92" spans="1:7">
      <c r="A92">
        <f t="shared" si="2"/>
        <v>189</v>
      </c>
      <c r="B92" s="4" t="s">
        <v>319</v>
      </c>
      <c r="E92" t="s">
        <v>320</v>
      </c>
      <c r="F92" s="4" t="s">
        <v>192</v>
      </c>
      <c r="G92" s="4" t="s">
        <v>72</v>
      </c>
    </row>
    <row r="93" spans="1:7">
      <c r="A93">
        <f t="shared" si="2"/>
        <v>190</v>
      </c>
      <c r="B93" s="4" t="s">
        <v>339</v>
      </c>
      <c r="E93" t="s">
        <v>279</v>
      </c>
      <c r="F93" s="4" t="s">
        <v>97</v>
      </c>
      <c r="G93" s="4" t="s">
        <v>72</v>
      </c>
    </row>
    <row r="94" spans="1:7">
      <c r="A94">
        <f>IF(ISBLANK(B94),"",A93+1)</f>
        <v>191</v>
      </c>
      <c r="B94" s="4" t="s">
        <v>321</v>
      </c>
      <c r="E94" t="s">
        <v>322</v>
      </c>
      <c r="F94" s="4" t="s">
        <v>257</v>
      </c>
      <c r="G94" s="4" t="s">
        <v>72</v>
      </c>
    </row>
    <row r="95" spans="1:7">
      <c r="A95">
        <f>IF(ISBLANK(#REF!),"",A94+1)</f>
        <v>192</v>
      </c>
      <c r="B95" s="4" t="s">
        <v>323</v>
      </c>
      <c r="E95" t="s">
        <v>324</v>
      </c>
      <c r="F95" s="4" t="s">
        <v>325</v>
      </c>
      <c r="G95" s="4" t="s">
        <v>72</v>
      </c>
    </row>
    <row r="96" spans="1:7">
      <c r="A96">
        <f t="shared" si="2"/>
        <v>193</v>
      </c>
      <c r="B96" s="4" t="s">
        <v>326</v>
      </c>
      <c r="E96" t="s">
        <v>327</v>
      </c>
      <c r="F96" s="4" t="s">
        <v>328</v>
      </c>
      <c r="G96" s="4" t="s">
        <v>72</v>
      </c>
    </row>
    <row r="97" spans="1:7">
      <c r="A97">
        <f t="shared" si="2"/>
        <v>194</v>
      </c>
      <c r="B97" s="4" t="s">
        <v>329</v>
      </c>
      <c r="E97" t="s">
        <v>330</v>
      </c>
      <c r="F97" s="4" t="s">
        <v>331</v>
      </c>
      <c r="G97" s="4" t="s">
        <v>72</v>
      </c>
    </row>
    <row r="98" spans="1:7">
      <c r="A98">
        <f t="shared" si="2"/>
        <v>195</v>
      </c>
      <c r="B98" s="4" t="s">
        <v>332</v>
      </c>
      <c r="E98" t="s">
        <v>333</v>
      </c>
      <c r="F98" s="4" t="s">
        <v>24</v>
      </c>
      <c r="G98" s="4" t="s">
        <v>72</v>
      </c>
    </row>
    <row r="99" spans="1:7">
      <c r="A99">
        <f t="shared" si="2"/>
        <v>196</v>
      </c>
      <c r="B99" s="4" t="s">
        <v>334</v>
      </c>
      <c r="E99" t="s">
        <v>335</v>
      </c>
      <c r="F99" s="4" t="s">
        <v>11</v>
      </c>
      <c r="G99" s="4" t="s">
        <v>72</v>
      </c>
    </row>
    <row r="100" spans="1:7">
      <c r="A100">
        <f t="shared" si="2"/>
        <v>197</v>
      </c>
      <c r="B100" s="4" t="s">
        <v>337</v>
      </c>
      <c r="E100" t="s">
        <v>336</v>
      </c>
      <c r="F100" s="4" t="s">
        <v>270</v>
      </c>
      <c r="G100" s="4" t="s">
        <v>338</v>
      </c>
    </row>
    <row r="101" spans="1:7">
      <c r="A101">
        <f t="shared" si="2"/>
        <v>198</v>
      </c>
      <c r="B101" s="4" t="s">
        <v>340</v>
      </c>
      <c r="E101" t="s">
        <v>341</v>
      </c>
      <c r="F101" s="4" t="s">
        <v>342</v>
      </c>
      <c r="G101" s="4" t="s">
        <v>72</v>
      </c>
    </row>
    <row r="102" spans="1:7">
      <c r="A102">
        <f t="shared" si="2"/>
        <v>199</v>
      </c>
      <c r="B102" s="4" t="s">
        <v>343</v>
      </c>
      <c r="C102" t="s">
        <v>344</v>
      </c>
      <c r="E102" t="s">
        <v>345</v>
      </c>
      <c r="F102" s="4" t="s">
        <v>302</v>
      </c>
    </row>
    <row r="103" spans="1:7">
      <c r="A103">
        <f t="shared" si="2"/>
        <v>200</v>
      </c>
      <c r="B103" s="4" t="s">
        <v>348</v>
      </c>
      <c r="E103" t="s">
        <v>349</v>
      </c>
      <c r="F103" s="4" t="s">
        <v>239</v>
      </c>
      <c r="G103" s="4" t="s">
        <v>72</v>
      </c>
    </row>
    <row r="104" spans="1:7">
      <c r="A104">
        <f t="shared" si="2"/>
        <v>201</v>
      </c>
      <c r="B104" s="4" t="s">
        <v>350</v>
      </c>
      <c r="E104" t="s">
        <v>351</v>
      </c>
      <c r="F104" s="4" t="s">
        <v>302</v>
      </c>
      <c r="G104" s="4" t="s">
        <v>72</v>
      </c>
    </row>
    <row r="105" spans="1:7">
      <c r="A105">
        <f t="shared" si="2"/>
        <v>202</v>
      </c>
      <c r="B105" s="4" t="s">
        <v>353</v>
      </c>
      <c r="E105" t="s">
        <v>309</v>
      </c>
      <c r="F105" s="4" t="s">
        <v>166</v>
      </c>
      <c r="G105" s="4" t="s">
        <v>72</v>
      </c>
    </row>
    <row r="106" spans="1:7">
      <c r="A106">
        <f t="shared" si="2"/>
        <v>203</v>
      </c>
      <c r="B106" s="4" t="s">
        <v>355</v>
      </c>
      <c r="E106" t="s">
        <v>356</v>
      </c>
      <c r="F106" s="4" t="s">
        <v>354</v>
      </c>
      <c r="G106" s="4" t="s">
        <v>72</v>
      </c>
    </row>
    <row r="107" spans="1:7">
      <c r="A107">
        <f t="shared" si="2"/>
        <v>204</v>
      </c>
      <c r="B107" s="4" t="s">
        <v>360</v>
      </c>
      <c r="E107" t="s">
        <v>361</v>
      </c>
      <c r="F107" s="4" t="s">
        <v>362</v>
      </c>
      <c r="G107" s="4" t="s">
        <v>72</v>
      </c>
    </row>
    <row r="108" spans="1:7">
      <c r="A108">
        <f t="shared" si="2"/>
        <v>205</v>
      </c>
      <c r="B108" s="4" t="s">
        <v>363</v>
      </c>
      <c r="E108" t="s">
        <v>392</v>
      </c>
      <c r="F108" s="4" t="s">
        <v>97</v>
      </c>
      <c r="G108" s="4" t="s">
        <v>72</v>
      </c>
    </row>
    <row r="109" spans="1:7">
      <c r="A109">
        <f t="shared" si="2"/>
        <v>206</v>
      </c>
      <c r="B109" s="4" t="s">
        <v>364</v>
      </c>
      <c r="E109" t="s">
        <v>241</v>
      </c>
      <c r="F109" s="4" t="s">
        <v>164</v>
      </c>
      <c r="G109" s="4" t="s">
        <v>365</v>
      </c>
    </row>
    <row r="110" spans="1:7">
      <c r="A110">
        <f t="shared" si="2"/>
        <v>207</v>
      </c>
      <c r="B110" s="4" t="s">
        <v>366</v>
      </c>
      <c r="E110" t="s">
        <v>367</v>
      </c>
      <c r="F110" s="4" t="s">
        <v>239</v>
      </c>
      <c r="G110" s="4" t="s">
        <v>72</v>
      </c>
    </row>
    <row r="111" spans="1:7">
      <c r="A111">
        <f t="shared" si="2"/>
        <v>208</v>
      </c>
      <c r="B111" s="4" t="s">
        <v>368</v>
      </c>
      <c r="E111" t="s">
        <v>369</v>
      </c>
      <c r="F111" s="4" t="s">
        <v>24</v>
      </c>
    </row>
    <row r="112" spans="1:7">
      <c r="A112">
        <f t="shared" si="2"/>
        <v>209</v>
      </c>
      <c r="B112" s="4" t="s">
        <v>370</v>
      </c>
      <c r="E112" t="s">
        <v>371</v>
      </c>
      <c r="F112" s="4" t="s">
        <v>24</v>
      </c>
      <c r="G112" s="4" t="s">
        <v>72</v>
      </c>
    </row>
    <row r="113" spans="1:7">
      <c r="A113">
        <f t="shared" si="2"/>
        <v>210</v>
      </c>
      <c r="B113" s="4" t="s">
        <v>372</v>
      </c>
      <c r="E113" t="s">
        <v>373</v>
      </c>
      <c r="F113" s="4" t="s">
        <v>97</v>
      </c>
      <c r="G113" s="4" t="s">
        <v>72</v>
      </c>
    </row>
    <row r="114" spans="1:7">
      <c r="A114">
        <f t="shared" si="2"/>
        <v>211</v>
      </c>
      <c r="B114" s="4" t="s">
        <v>374</v>
      </c>
      <c r="E114" t="s">
        <v>375</v>
      </c>
      <c r="F114" s="4" t="s">
        <v>376</v>
      </c>
      <c r="G114" s="4" t="s">
        <v>72</v>
      </c>
    </row>
    <row r="115" spans="1:7">
      <c r="A115">
        <f t="shared" si="2"/>
        <v>212</v>
      </c>
      <c r="B115" s="4" t="s">
        <v>377</v>
      </c>
      <c r="E115" t="s">
        <v>378</v>
      </c>
      <c r="F115" s="4" t="s">
        <v>379</v>
      </c>
      <c r="G115" s="4" t="s">
        <v>72</v>
      </c>
    </row>
    <row r="116" spans="1:7">
      <c r="A116">
        <f t="shared" si="2"/>
        <v>213</v>
      </c>
      <c r="B116" s="4" t="s">
        <v>388</v>
      </c>
      <c r="E116" t="s">
        <v>387</v>
      </c>
      <c r="F116" s="4" t="s">
        <v>44</v>
      </c>
      <c r="G116" s="4" t="s">
        <v>72</v>
      </c>
    </row>
    <row r="117" spans="1:7">
      <c r="A117">
        <f>IF(ISBLANK(B119),"",A116+1)</f>
        <v>214</v>
      </c>
      <c r="B117" s="4" t="s">
        <v>384</v>
      </c>
      <c r="E117" t="s">
        <v>282</v>
      </c>
      <c r="F117" s="4" t="s">
        <v>97</v>
      </c>
    </row>
    <row r="118" spans="1:7">
      <c r="A118">
        <f t="shared" si="2"/>
        <v>215</v>
      </c>
      <c r="B118" s="4" t="s">
        <v>385</v>
      </c>
      <c r="E118" t="s">
        <v>386</v>
      </c>
      <c r="F118" s="4" t="s">
        <v>276</v>
      </c>
      <c r="G118" s="4" t="s">
        <v>72</v>
      </c>
    </row>
    <row r="119" spans="1:7">
      <c r="A119">
        <f t="shared" si="2"/>
        <v>216</v>
      </c>
      <c r="B119" s="4" t="s">
        <v>380</v>
      </c>
      <c r="E119" t="s">
        <v>381</v>
      </c>
      <c r="F119" s="4" t="s">
        <v>382</v>
      </c>
      <c r="G119" s="4" t="s">
        <v>383</v>
      </c>
    </row>
    <row r="120" spans="1:7">
      <c r="A120">
        <f>IF(ISBLANK(#REF!),"",A119+1)</f>
        <v>217</v>
      </c>
      <c r="B120" s="4" t="s">
        <v>389</v>
      </c>
      <c r="E120" t="s">
        <v>390</v>
      </c>
      <c r="F120" s="4" t="s">
        <v>391</v>
      </c>
      <c r="G120" s="4" t="s">
        <v>72</v>
      </c>
    </row>
    <row r="121" spans="1:7">
      <c r="A121">
        <f t="shared" si="2"/>
        <v>218</v>
      </c>
      <c r="B121" s="4" t="s">
        <v>393</v>
      </c>
      <c r="E121" t="s">
        <v>395</v>
      </c>
      <c r="F121" t="s">
        <v>396</v>
      </c>
      <c r="G121" s="4" t="s">
        <v>394</v>
      </c>
    </row>
    <row r="122" spans="1:7">
      <c r="A122">
        <f t="shared" si="2"/>
        <v>219</v>
      </c>
      <c r="B122" s="4" t="s">
        <v>397</v>
      </c>
      <c r="E122" t="s">
        <v>398</v>
      </c>
      <c r="F122" s="4" t="s">
        <v>239</v>
      </c>
      <c r="G122" s="4" t="s">
        <v>72</v>
      </c>
    </row>
    <row r="123" spans="1:7">
      <c r="A123">
        <f t="shared" si="2"/>
        <v>220</v>
      </c>
      <c r="B123" s="4" t="s">
        <v>385</v>
      </c>
      <c r="E123" t="s">
        <v>386</v>
      </c>
      <c r="F123" s="4" t="s">
        <v>276</v>
      </c>
      <c r="G123" s="4" t="s">
        <v>72</v>
      </c>
    </row>
    <row r="124" spans="1:7">
      <c r="A124">
        <f t="shared" si="2"/>
        <v>221</v>
      </c>
      <c r="B124" s="4" t="s">
        <v>399</v>
      </c>
      <c r="E124" t="s">
        <v>400</v>
      </c>
      <c r="F124" s="4" t="s">
        <v>97</v>
      </c>
      <c r="G124" s="4" t="s">
        <v>72</v>
      </c>
    </row>
    <row r="125" spans="1:7">
      <c r="A125">
        <f t="shared" si="2"/>
        <v>222</v>
      </c>
      <c r="B125" s="4" t="s">
        <v>401</v>
      </c>
      <c r="E125" t="s">
        <v>402</v>
      </c>
      <c r="F125" s="4" t="s">
        <v>239</v>
      </c>
      <c r="G125" s="4" t="s">
        <v>72</v>
      </c>
    </row>
    <row r="126" spans="1:7">
      <c r="A126">
        <f t="shared" si="2"/>
        <v>223</v>
      </c>
      <c r="B126" s="4" t="s">
        <v>403</v>
      </c>
      <c r="E126" t="s">
        <v>404</v>
      </c>
      <c r="F126" s="4" t="s">
        <v>97</v>
      </c>
      <c r="G126" s="4" t="s">
        <v>72</v>
      </c>
    </row>
    <row r="127" spans="1:7">
      <c r="A127">
        <f t="shared" si="2"/>
        <v>224</v>
      </c>
      <c r="B127" s="4" t="s">
        <v>405</v>
      </c>
      <c r="E127" t="s">
        <v>406</v>
      </c>
      <c r="F127" s="4" t="s">
        <v>97</v>
      </c>
      <c r="G127" s="4" t="s">
        <v>72</v>
      </c>
    </row>
    <row r="128" spans="1:7">
      <c r="A128">
        <f t="shared" si="2"/>
        <v>225</v>
      </c>
      <c r="B128" s="4" t="s">
        <v>407</v>
      </c>
    </row>
    <row r="129" spans="1:7">
      <c r="A129">
        <f t="shared" si="2"/>
        <v>226</v>
      </c>
      <c r="B129" s="4" t="s">
        <v>408</v>
      </c>
      <c r="E129" t="s">
        <v>409</v>
      </c>
      <c r="F129" s="4" t="s">
        <v>257</v>
      </c>
      <c r="G129" s="4" t="s">
        <v>410</v>
      </c>
    </row>
    <row r="130" spans="1:7">
      <c r="A130">
        <f t="shared" si="2"/>
        <v>227</v>
      </c>
      <c r="B130" s="4" t="s">
        <v>411</v>
      </c>
      <c r="E130" t="s">
        <v>412</v>
      </c>
      <c r="F130" t="s">
        <v>342</v>
      </c>
      <c r="G130" t="s">
        <v>413</v>
      </c>
    </row>
    <row r="131" spans="1:7">
      <c r="A131">
        <f t="shared" si="2"/>
        <v>228</v>
      </c>
      <c r="B131" s="4" t="s">
        <v>414</v>
      </c>
      <c r="E131" t="s">
        <v>415</v>
      </c>
      <c r="F131" s="4" t="s">
        <v>239</v>
      </c>
      <c r="G131" s="4" t="s">
        <v>410</v>
      </c>
    </row>
    <row r="132" spans="1:7">
      <c r="A132">
        <f t="shared" si="2"/>
        <v>229</v>
      </c>
      <c r="B132" s="4" t="s">
        <v>416</v>
      </c>
      <c r="E132" t="s">
        <v>417</v>
      </c>
      <c r="F132" t="s">
        <v>29</v>
      </c>
    </row>
    <row r="133" spans="1:7">
      <c r="A133">
        <f t="shared" si="2"/>
        <v>230</v>
      </c>
      <c r="B133" s="4" t="s">
        <v>418</v>
      </c>
      <c r="E133" t="s">
        <v>419</v>
      </c>
      <c r="F133" s="4" t="s">
        <v>420</v>
      </c>
      <c r="G133" s="4" t="s">
        <v>410</v>
      </c>
    </row>
    <row r="134" spans="1:7">
      <c r="A134">
        <f t="shared" si="2"/>
        <v>231</v>
      </c>
      <c r="B134" s="4" t="s">
        <v>421</v>
      </c>
      <c r="G134" t="s">
        <v>410</v>
      </c>
    </row>
    <row r="135" spans="1:7">
      <c r="A135">
        <f t="shared" si="2"/>
        <v>232</v>
      </c>
      <c r="B135" s="4" t="s">
        <v>422</v>
      </c>
      <c r="E135" t="s">
        <v>423</v>
      </c>
      <c r="F135" s="4" t="s">
        <v>270</v>
      </c>
      <c r="G135" s="4" t="s">
        <v>410</v>
      </c>
    </row>
    <row r="136" spans="1:7">
      <c r="A136">
        <f t="shared" si="2"/>
        <v>233</v>
      </c>
      <c r="B136" s="4" t="s">
        <v>424</v>
      </c>
    </row>
    <row r="137" spans="1:7">
      <c r="A137">
        <f t="shared" si="2"/>
        <v>234</v>
      </c>
      <c r="B137" s="4" t="s">
        <v>425</v>
      </c>
      <c r="F137" s="4" t="s">
        <v>97</v>
      </c>
      <c r="G137" s="4" t="s">
        <v>410</v>
      </c>
    </row>
    <row r="138" spans="1:7">
      <c r="A138">
        <f t="shared" si="2"/>
        <v>235</v>
      </c>
      <c r="B138" s="4" t="s">
        <v>426</v>
      </c>
      <c r="E138" t="s">
        <v>415</v>
      </c>
      <c r="F138" t="s">
        <v>239</v>
      </c>
      <c r="G138" t="s">
        <v>410</v>
      </c>
    </row>
    <row r="139" spans="1:7">
      <c r="A139">
        <f t="shared" si="2"/>
        <v>236</v>
      </c>
      <c r="B139" s="4" t="s">
        <v>427</v>
      </c>
      <c r="E139" t="s">
        <v>428</v>
      </c>
      <c r="F139" s="4" t="s">
        <v>181</v>
      </c>
      <c r="G139" s="4" t="s">
        <v>410</v>
      </c>
    </row>
    <row r="140" spans="1:7">
      <c r="A140">
        <f t="shared" si="2"/>
        <v>237</v>
      </c>
      <c r="B140" s="4" t="s">
        <v>429</v>
      </c>
      <c r="E140" t="s">
        <v>430</v>
      </c>
      <c r="F140" t="s">
        <v>97</v>
      </c>
      <c r="G140" t="s">
        <v>410</v>
      </c>
    </row>
    <row r="141" spans="1:7">
      <c r="A141">
        <f t="shared" si="2"/>
        <v>238</v>
      </c>
      <c r="B141" s="4" t="s">
        <v>431</v>
      </c>
      <c r="E141" t="s">
        <v>433</v>
      </c>
      <c r="F141" s="4" t="s">
        <v>432</v>
      </c>
      <c r="G141" s="4" t="s">
        <v>410</v>
      </c>
    </row>
    <row r="142" spans="1:7">
      <c r="A142">
        <f t="shared" si="2"/>
        <v>239</v>
      </c>
      <c r="B142" s="4" t="s">
        <v>434</v>
      </c>
      <c r="E142" t="s">
        <v>435</v>
      </c>
      <c r="F142" t="s">
        <v>276</v>
      </c>
      <c r="G142" t="s">
        <v>410</v>
      </c>
    </row>
    <row r="143" spans="1:7">
      <c r="A143">
        <f t="shared" si="2"/>
        <v>240</v>
      </c>
    </row>
    <row r="144" spans="1:7">
      <c r="A144" t="str">
        <f t="shared" si="2"/>
        <v/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6"/>
  <sheetViews>
    <sheetView zoomScaleNormal="100" workbookViewId="0">
      <selection activeCell="G8" sqref="G8"/>
    </sheetView>
  </sheetViews>
  <sheetFormatPr baseColWidth="10" defaultColWidth="11.5703125" defaultRowHeight="15"/>
  <cols>
    <col min="1" max="1" width="6.42578125" customWidth="1"/>
    <col min="2" max="2" width="8.140625" customWidth="1"/>
    <col min="3" max="3" width="6.5703125" customWidth="1"/>
    <col min="4" max="4" width="38.85546875" customWidth="1"/>
    <col min="5" max="17" width="9.5703125" customWidth="1"/>
  </cols>
  <sheetData>
    <row r="3" spans="1:8" ht="14.45" customHeight="1">
      <c r="A3" s="129"/>
      <c r="B3" s="129"/>
      <c r="C3" s="129"/>
      <c r="D3" s="129"/>
      <c r="E3" s="129"/>
      <c r="F3" s="129"/>
    </row>
    <row r="4" spans="1:8" ht="17.45" customHeight="1">
      <c r="A4" s="129"/>
      <c r="B4" s="129"/>
      <c r="C4" s="129"/>
      <c r="D4" s="129"/>
      <c r="E4" s="129"/>
      <c r="F4" s="129"/>
    </row>
    <row r="5" spans="1:8" ht="17.45" customHeight="1"/>
    <row r="6" spans="1:8" ht="15.75">
      <c r="A6" s="75" t="s">
        <v>358</v>
      </c>
      <c r="B6" s="27"/>
      <c r="C6" s="27"/>
      <c r="D6" s="28"/>
      <c r="E6" s="23"/>
      <c r="F6" s="12"/>
      <c r="G6" s="13"/>
    </row>
    <row r="7" spans="1:8">
      <c r="F7" s="14"/>
      <c r="G7" s="15"/>
    </row>
    <row r="8" spans="1:8" ht="14.1" customHeight="1">
      <c r="A8" s="128" t="e">
        <f>VLOOKUP(G9,'Kundenstamm Re'!A:K,2,FALSE)&amp; " "</f>
        <v>#N/A</v>
      </c>
      <c r="B8" s="128"/>
      <c r="C8" s="128"/>
      <c r="D8" s="128"/>
      <c r="E8" s="69"/>
      <c r="F8" s="79" t="s">
        <v>116</v>
      </c>
      <c r="G8" s="60" t="s">
        <v>119</v>
      </c>
    </row>
    <row r="9" spans="1:8" ht="14.1" customHeight="1">
      <c r="A9" s="128" t="e">
        <f>VLOOKUP(G9,'Kundenstamm Re'!A:K,3,FALSE)&amp; " "</f>
        <v>#N/A</v>
      </c>
      <c r="B9" s="128"/>
      <c r="C9" s="128"/>
      <c r="D9" s="128"/>
      <c r="E9" s="69"/>
      <c r="F9" s="79" t="s">
        <v>109</v>
      </c>
      <c r="G9" s="60" t="s">
        <v>119</v>
      </c>
      <c r="H9" s="1"/>
    </row>
    <row r="10" spans="1:8" ht="14.1" customHeight="1">
      <c r="A10" s="128" t="e">
        <f>VLOOKUP(G9,'Kundenstamm Re'!A:K,4,FALSE)&amp; " "</f>
        <v>#N/A</v>
      </c>
      <c r="B10" s="128"/>
      <c r="C10" s="128"/>
      <c r="D10" s="128"/>
      <c r="E10" s="69"/>
      <c r="F10" s="79" t="s">
        <v>110</v>
      </c>
      <c r="G10" s="61">
        <f ca="1">TODAY()</f>
        <v>46169</v>
      </c>
    </row>
    <row r="11" spans="1:8" ht="14.1" customHeight="1">
      <c r="A11" s="128" t="e">
        <f>VLOOKUP(G9,'Kundenstamm Re'!A:K,5,FALSE)&amp; " "</f>
        <v>#N/A</v>
      </c>
      <c r="B11" s="128"/>
      <c r="C11" s="128"/>
      <c r="D11" s="128"/>
      <c r="E11" s="69"/>
      <c r="F11" s="79" t="s">
        <v>1</v>
      </c>
      <c r="G11" s="59" t="e">
        <f>VLOOKUP(G9,'Kundenstamm Re'!A:K,7,FALSE)&amp; " "</f>
        <v>#N/A</v>
      </c>
      <c r="H11" s="1"/>
    </row>
    <row r="12" spans="1:8" ht="14.1" customHeight="1">
      <c r="A12" s="128" t="e">
        <f>VLOOKUP(G9,'Kundenstamm Re'!A:K,6,FALSE)&amp; " "</f>
        <v>#N/A</v>
      </c>
      <c r="B12" s="128"/>
      <c r="C12" s="128"/>
      <c r="D12" s="128"/>
      <c r="E12" s="69"/>
      <c r="F12" s="79" t="s">
        <v>117</v>
      </c>
      <c r="G12" s="61"/>
    </row>
    <row r="16" spans="1:8" ht="15.75">
      <c r="A16" s="16"/>
      <c r="B16" s="16"/>
    </row>
    <row r="17" spans="1:7" ht="18.75">
      <c r="A17" s="127" t="s">
        <v>352</v>
      </c>
      <c r="B17" s="127"/>
      <c r="C17" s="127"/>
      <c r="D17" s="57"/>
    </row>
    <row r="18" spans="1:7" ht="5.0999999999999996" customHeight="1">
      <c r="A18" s="83"/>
      <c r="B18" s="83"/>
      <c r="C18" s="83"/>
      <c r="D18" s="57"/>
    </row>
    <row r="19" spans="1:7" ht="12.95" customHeight="1">
      <c r="A19" s="58" t="s">
        <v>159</v>
      </c>
      <c r="B19" s="69" t="str">
        <f>G8</f>
        <v>XXX</v>
      </c>
      <c r="C19" s="58"/>
      <c r="D19" s="58"/>
      <c r="E19" s="58"/>
    </row>
    <row r="20" spans="1:7" ht="12.95" customHeight="1">
      <c r="A20" s="58" t="s">
        <v>115</v>
      </c>
      <c r="B20" s="58"/>
      <c r="D20" s="58" t="s">
        <v>119</v>
      </c>
      <c r="E20" s="58"/>
      <c r="F20" s="125" t="s">
        <v>98</v>
      </c>
      <c r="G20" s="125"/>
    </row>
    <row r="21" spans="1:7" ht="12.95" customHeight="1">
      <c r="A21" s="58" t="s">
        <v>102</v>
      </c>
      <c r="B21" s="58"/>
      <c r="D21" s="58" t="s">
        <v>119</v>
      </c>
      <c r="E21" s="58"/>
      <c r="F21" s="124" t="s">
        <v>119</v>
      </c>
      <c r="G21" s="125"/>
    </row>
    <row r="22" spans="1:7" ht="9.9499999999999993" customHeight="1">
      <c r="A22" s="6"/>
      <c r="B22" s="6"/>
      <c r="F22" s="7"/>
      <c r="G22" s="7"/>
    </row>
    <row r="23" spans="1:7" ht="18" customHeight="1">
      <c r="A23" s="80" t="s">
        <v>107</v>
      </c>
      <c r="B23" s="80" t="s">
        <v>108</v>
      </c>
      <c r="C23" s="81" t="s">
        <v>0</v>
      </c>
      <c r="D23" s="126" t="s">
        <v>111</v>
      </c>
      <c r="E23" s="126"/>
      <c r="F23" s="80" t="s">
        <v>112</v>
      </c>
      <c r="G23" s="82" t="s">
        <v>113</v>
      </c>
    </row>
    <row r="24" spans="1:7" ht="15.75">
      <c r="A24" s="65"/>
      <c r="B24" s="63"/>
      <c r="C24" s="62"/>
      <c r="D24" s="62"/>
      <c r="E24" s="64"/>
      <c r="F24" s="84"/>
      <c r="G24" s="86"/>
    </row>
    <row r="25" spans="1:7" ht="15.75">
      <c r="A25" s="118"/>
      <c r="B25" s="118"/>
      <c r="C25" s="119"/>
      <c r="D25" s="118"/>
      <c r="E25" s="120"/>
      <c r="F25" s="120"/>
      <c r="G25" s="86">
        <f>B25*F25</f>
        <v>0</v>
      </c>
    </row>
    <row r="26" spans="1:7" ht="15.75">
      <c r="A26" s="65"/>
      <c r="B26" s="63"/>
      <c r="C26" s="117"/>
      <c r="D26" s="117"/>
      <c r="E26" s="64"/>
      <c r="F26" s="84"/>
      <c r="G26" s="86">
        <f t="shared" ref="G26:G28" si="0">B26*F26</f>
        <v>0</v>
      </c>
    </row>
    <row r="27" spans="1:7" ht="15.75">
      <c r="A27" s="65"/>
      <c r="B27" s="116"/>
      <c r="C27" s="117"/>
      <c r="D27" s="117"/>
      <c r="E27" s="64"/>
      <c r="F27" s="84"/>
      <c r="G27" s="86">
        <f t="shared" si="0"/>
        <v>0</v>
      </c>
    </row>
    <row r="28" spans="1:7" ht="15.75">
      <c r="A28" s="65"/>
      <c r="B28" s="63"/>
      <c r="C28" s="62"/>
      <c r="D28" s="115"/>
      <c r="E28" s="64"/>
      <c r="F28" s="84"/>
      <c r="G28" s="86">
        <f t="shared" si="0"/>
        <v>0</v>
      </c>
    </row>
    <row r="29" spans="1:7" ht="15.75">
      <c r="A29" s="85"/>
      <c r="B29" s="63"/>
      <c r="C29" s="62"/>
      <c r="D29" s="62"/>
      <c r="E29" s="67"/>
      <c r="F29" s="84"/>
      <c r="G29" s="86">
        <f t="shared" ref="G29" si="1">B29*F29</f>
        <v>0</v>
      </c>
    </row>
    <row r="30" spans="1:7" ht="3" customHeight="1">
      <c r="A30" s="33"/>
      <c r="B30" s="32"/>
      <c r="C30" s="6"/>
      <c r="D30" s="73"/>
      <c r="E30" s="74"/>
      <c r="F30" s="74"/>
      <c r="G30" s="87"/>
    </row>
    <row r="31" spans="1:7" ht="15.75">
      <c r="A31" s="33"/>
      <c r="B31" s="32"/>
      <c r="D31" s="67" t="s">
        <v>99</v>
      </c>
      <c r="E31" s="67"/>
      <c r="F31" s="68"/>
      <c r="G31" s="89">
        <f>SUM(G24:G29)</f>
        <v>0</v>
      </c>
    </row>
    <row r="32" spans="1:7" ht="15.75">
      <c r="A32" s="33"/>
      <c r="B32" s="32"/>
      <c r="D32" s="76" t="s">
        <v>101</v>
      </c>
      <c r="E32" s="76"/>
      <c r="F32" s="77"/>
      <c r="G32" s="90">
        <f>G33-G31</f>
        <v>0</v>
      </c>
    </row>
    <row r="33" spans="1:7" ht="15.75">
      <c r="A33" s="33"/>
      <c r="B33" s="32"/>
      <c r="D33" s="78" t="s">
        <v>100</v>
      </c>
      <c r="E33" s="67"/>
      <c r="F33" s="68"/>
      <c r="G33" s="88">
        <f>G31*1.2</f>
        <v>0</v>
      </c>
    </row>
    <row r="34" spans="1:7" ht="2.1" customHeight="1">
      <c r="A34" s="33"/>
      <c r="B34" s="32"/>
      <c r="D34" s="70"/>
      <c r="E34" s="71"/>
      <c r="F34" s="72"/>
      <c r="G34" s="91"/>
    </row>
    <row r="35" spans="1:7" ht="18" customHeight="1">
      <c r="A35" s="33"/>
      <c r="B35" s="32"/>
      <c r="D35" s="58" t="s">
        <v>114</v>
      </c>
    </row>
    <row r="36" spans="1:7" ht="12" customHeight="1">
      <c r="A36" s="33"/>
      <c r="B36" s="32"/>
      <c r="C36" s="9"/>
      <c r="D36" s="66" t="s">
        <v>161</v>
      </c>
      <c r="E36" s="9"/>
      <c r="F36" s="10"/>
      <c r="G36" s="92">
        <f t="shared" ref="G36" si="2">B36*F36</f>
        <v>0</v>
      </c>
    </row>
    <row r="37" spans="1:7" ht="12" customHeight="1">
      <c r="B37" s="24"/>
      <c r="D37" s="58" t="s">
        <v>162</v>
      </c>
    </row>
    <row r="38" spans="1:7" ht="5.0999999999999996" customHeight="1">
      <c r="B38" s="24"/>
      <c r="D38" s="58"/>
    </row>
    <row r="39" spans="1:7" ht="15.75">
      <c r="B39" s="24"/>
      <c r="D39" s="58" t="s">
        <v>160</v>
      </c>
    </row>
    <row r="40" spans="1:7">
      <c r="B40" s="24"/>
    </row>
    <row r="41" spans="1:7">
      <c r="A41" s="17"/>
      <c r="B41" s="17"/>
      <c r="C41" s="17"/>
      <c r="D41" s="17"/>
      <c r="E41" s="17"/>
      <c r="F41" s="19"/>
      <c r="G41" s="17"/>
    </row>
    <row r="42" spans="1:7">
      <c r="A42" s="17"/>
      <c r="B42" s="17"/>
      <c r="C42" s="17"/>
      <c r="D42" s="17"/>
      <c r="E42" s="17"/>
      <c r="F42" s="19"/>
      <c r="G42" s="17"/>
    </row>
    <row r="43" spans="1:7">
      <c r="A43" s="123"/>
      <c r="B43" s="123"/>
      <c r="C43" s="123"/>
      <c r="D43" s="123"/>
      <c r="E43" s="19"/>
      <c r="F43" s="19"/>
      <c r="G43" s="17"/>
    </row>
    <row r="44" spans="1:7">
      <c r="A44" s="17"/>
      <c r="B44" s="17"/>
      <c r="C44" s="17"/>
      <c r="D44" s="17"/>
      <c r="E44" s="17"/>
      <c r="F44" s="19"/>
      <c r="G44" s="20"/>
    </row>
    <row r="45" spans="1:7">
      <c r="A45" s="21"/>
      <c r="B45" s="17"/>
      <c r="C45" s="17"/>
      <c r="D45" s="17"/>
      <c r="E45" s="17"/>
      <c r="F45" s="19"/>
      <c r="G45" s="20"/>
    </row>
    <row r="46" spans="1:7">
      <c r="A46" s="22"/>
      <c r="B46" s="22"/>
      <c r="C46" s="22"/>
      <c r="D46" s="22"/>
      <c r="E46" s="22"/>
    </row>
  </sheetData>
  <protectedRanges>
    <protectedRange password="C701" sqref="G8" name="Bereich1_1"/>
  </protectedRanges>
  <mergeCells count="11">
    <mergeCell ref="A12:D12"/>
    <mergeCell ref="A3:F4"/>
    <mergeCell ref="A8:D8"/>
    <mergeCell ref="A9:D9"/>
    <mergeCell ref="A10:D10"/>
    <mergeCell ref="A11:D11"/>
    <mergeCell ref="A43:D43"/>
    <mergeCell ref="F21:G21"/>
    <mergeCell ref="D23:E23"/>
    <mergeCell ref="A17:C17"/>
    <mergeCell ref="F20:G20"/>
  </mergeCells>
  <pageMargins left="0.78740157480314965" right="0.39370078740157483" top="0.74803149606299213" bottom="0.19685039370078741" header="0.31496062992125984" footer="0"/>
  <pageSetup paperSize="9" orientation="portrait" r:id="rId1"/>
  <headerFooter>
    <oddHeader>&amp;R&amp;G
&amp;"Century Gothic,Standard"&amp;8&amp;P von &amp;N</oddHeader>
    <oddFooter>&amp;L&amp;"Century Gothic,Standard"&amp;7Holzbau Lutz OG
Am Sportplatz 3
6642 Stanzach
Mobil: 0699/191 68 685
UID: ATU 67426948
&amp;R&amp;"Century Gothic,Standard"&amp;7Firmenbuchnr: FN384102g
Bankverbindung 
Sparkassa Imst  
IBAN AT2120502000 00849588
BIC: SPIMAT 21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46"/>
  <sheetViews>
    <sheetView zoomScaleNormal="100" workbookViewId="0">
      <selection activeCell="G32" sqref="G32"/>
    </sheetView>
  </sheetViews>
  <sheetFormatPr baseColWidth="10" defaultColWidth="11.5703125" defaultRowHeight="15"/>
  <cols>
    <col min="1" max="1" width="6.42578125" customWidth="1"/>
    <col min="2" max="2" width="8.140625" customWidth="1"/>
    <col min="3" max="3" width="6.5703125" customWidth="1"/>
    <col min="4" max="4" width="38.85546875" customWidth="1"/>
    <col min="5" max="5" width="4.85546875" customWidth="1"/>
    <col min="6" max="6" width="10.5703125" customWidth="1"/>
    <col min="7" max="7" width="13.5703125" customWidth="1"/>
    <col min="8" max="8" width="2" customWidth="1"/>
    <col min="11" max="11" width="11.5703125" customWidth="1"/>
  </cols>
  <sheetData>
    <row r="3" spans="1:8" ht="14.45" customHeight="1">
      <c r="A3" s="129"/>
      <c r="B3" s="129"/>
      <c r="C3" s="129"/>
      <c r="D3" s="129"/>
      <c r="E3" s="129"/>
      <c r="F3" s="129"/>
    </row>
    <row r="4" spans="1:8" ht="17.45" customHeight="1">
      <c r="A4" s="129"/>
      <c r="B4" s="129"/>
      <c r="C4" s="129"/>
      <c r="D4" s="129"/>
      <c r="E4" s="129"/>
      <c r="F4" s="129"/>
    </row>
    <row r="5" spans="1:8" ht="17.45" customHeight="1"/>
    <row r="6" spans="1:8" ht="15.75">
      <c r="A6" s="75" t="s">
        <v>358</v>
      </c>
      <c r="B6" s="27"/>
      <c r="C6" s="27"/>
      <c r="D6" s="28"/>
      <c r="E6" s="23"/>
      <c r="F6" s="12"/>
      <c r="G6" s="13"/>
    </row>
    <row r="7" spans="1:8">
      <c r="F7" s="14"/>
      <c r="G7" s="15"/>
    </row>
    <row r="8" spans="1:8" ht="14.1" customHeight="1">
      <c r="A8" s="128" t="e">
        <f>VLOOKUP(G9,'Kundenstamm Re'!A:K,2,FALSE)&amp; " "</f>
        <v>#N/A</v>
      </c>
      <c r="B8" s="128"/>
      <c r="C8" s="128"/>
      <c r="D8" s="128"/>
      <c r="E8" s="69"/>
      <c r="F8" s="79" t="s">
        <v>116</v>
      </c>
      <c r="G8" s="60" t="s">
        <v>119</v>
      </c>
    </row>
    <row r="9" spans="1:8" ht="14.1" customHeight="1">
      <c r="A9" s="128" t="e">
        <f>VLOOKUP(G9,'Kundenstamm Re'!A:K,3,FALSE)&amp; " "</f>
        <v>#N/A</v>
      </c>
      <c r="B9" s="128"/>
      <c r="C9" s="128"/>
      <c r="D9" s="128"/>
      <c r="E9" s="69"/>
      <c r="F9" s="79" t="s">
        <v>109</v>
      </c>
      <c r="G9" s="60" t="s">
        <v>119</v>
      </c>
      <c r="H9" s="1"/>
    </row>
    <row r="10" spans="1:8" ht="14.1" customHeight="1">
      <c r="A10" s="128" t="e">
        <f>VLOOKUP(G9,'Kundenstamm Re'!A:K,4,FALSE)&amp; " "</f>
        <v>#N/A</v>
      </c>
      <c r="B10" s="128"/>
      <c r="C10" s="128"/>
      <c r="D10" s="128"/>
      <c r="E10" s="69"/>
      <c r="F10" s="79" t="s">
        <v>110</v>
      </c>
      <c r="G10" s="61">
        <f ca="1">TODAY()</f>
        <v>46169</v>
      </c>
    </row>
    <row r="11" spans="1:8" ht="14.1" customHeight="1">
      <c r="A11" s="128" t="e">
        <f>VLOOKUP(G9,'Kundenstamm Re'!A:K,5,FALSE)&amp; " "</f>
        <v>#N/A</v>
      </c>
      <c r="B11" s="128"/>
      <c r="C11" s="128"/>
      <c r="D11" s="128"/>
      <c r="E11" s="69"/>
      <c r="F11" s="79" t="s">
        <v>1</v>
      </c>
      <c r="G11" s="59" t="e">
        <f>VLOOKUP(G9,'Kundenstamm Re'!A:K,7,FALSE)&amp; " "</f>
        <v>#N/A</v>
      </c>
      <c r="H11" s="1"/>
    </row>
    <row r="12" spans="1:8" ht="14.1" customHeight="1">
      <c r="A12" s="128" t="e">
        <f>VLOOKUP(G9,'Kundenstamm Re'!A:K,6,FALSE)&amp; " "</f>
        <v>#N/A</v>
      </c>
      <c r="B12" s="128"/>
      <c r="C12" s="128"/>
      <c r="D12" s="128"/>
      <c r="E12" s="69"/>
      <c r="F12" s="79" t="s">
        <v>117</v>
      </c>
      <c r="G12" s="61"/>
    </row>
    <row r="16" spans="1:8" ht="15.75">
      <c r="A16" s="16"/>
      <c r="B16" s="16"/>
    </row>
    <row r="17" spans="1:7" ht="18.75">
      <c r="A17" s="127" t="s">
        <v>352</v>
      </c>
      <c r="B17" s="127"/>
      <c r="C17" s="127"/>
      <c r="D17" s="57"/>
    </row>
    <row r="18" spans="1:7" ht="5.0999999999999996" customHeight="1">
      <c r="A18" s="83"/>
      <c r="B18" s="83"/>
      <c r="C18" s="83"/>
      <c r="D18" s="57"/>
    </row>
    <row r="19" spans="1:7" ht="12.95" customHeight="1">
      <c r="A19" s="58" t="s">
        <v>159</v>
      </c>
      <c r="B19" s="69" t="str">
        <f>G8</f>
        <v>XXX</v>
      </c>
      <c r="C19" s="58"/>
      <c r="D19" s="58"/>
      <c r="E19" s="58"/>
    </row>
    <row r="20" spans="1:7" ht="12.95" customHeight="1">
      <c r="A20" s="58" t="s">
        <v>115</v>
      </c>
      <c r="B20" s="58"/>
      <c r="D20" s="58" t="s">
        <v>119</v>
      </c>
      <c r="E20" s="58"/>
      <c r="F20" s="125" t="s">
        <v>98</v>
      </c>
      <c r="G20" s="125"/>
    </row>
    <row r="21" spans="1:7" ht="12.95" customHeight="1">
      <c r="A21" s="58" t="s">
        <v>102</v>
      </c>
      <c r="B21" s="58"/>
      <c r="D21" s="58" t="s">
        <v>119</v>
      </c>
      <c r="E21" s="58"/>
      <c r="F21" s="124" t="s">
        <v>357</v>
      </c>
      <c r="G21" s="125"/>
    </row>
    <row r="22" spans="1:7" ht="9.9499999999999993" customHeight="1">
      <c r="A22" s="6"/>
      <c r="B22" s="6"/>
      <c r="F22" s="7"/>
      <c r="G22" s="7"/>
    </row>
    <row r="23" spans="1:7" ht="18" customHeight="1">
      <c r="A23" s="80" t="s">
        <v>107</v>
      </c>
      <c r="B23" s="80" t="s">
        <v>108</v>
      </c>
      <c r="C23" s="81" t="s">
        <v>0</v>
      </c>
      <c r="D23" s="126" t="s">
        <v>111</v>
      </c>
      <c r="E23" s="126"/>
      <c r="F23" s="80" t="s">
        <v>112</v>
      </c>
      <c r="G23" s="82" t="s">
        <v>113</v>
      </c>
    </row>
    <row r="24" spans="1:7" ht="15.75">
      <c r="A24" s="65"/>
      <c r="B24" s="63"/>
      <c r="C24" s="62"/>
      <c r="D24" s="62"/>
      <c r="E24" s="64"/>
      <c r="F24" s="84"/>
      <c r="G24" s="86"/>
    </row>
    <row r="25" spans="1:7" ht="15.75">
      <c r="A25" s="65">
        <v>1</v>
      </c>
      <c r="B25" s="116"/>
      <c r="C25" s="117"/>
      <c r="D25" s="117"/>
      <c r="E25" s="64"/>
      <c r="F25" s="84"/>
      <c r="G25" s="86">
        <f>B25*F25</f>
        <v>0</v>
      </c>
    </row>
    <row r="26" spans="1:7" ht="15.75">
      <c r="A26" s="65"/>
      <c r="B26" s="63"/>
      <c r="C26" s="117"/>
      <c r="D26" s="117"/>
      <c r="E26" s="64"/>
      <c r="F26" s="84"/>
      <c r="G26" s="86">
        <f t="shared" ref="G26:G29" si="0">B26*F26</f>
        <v>0</v>
      </c>
    </row>
    <row r="27" spans="1:7" ht="15.75">
      <c r="A27" s="65"/>
      <c r="B27" s="116"/>
      <c r="C27" s="117"/>
      <c r="D27" s="117"/>
      <c r="E27" s="64"/>
      <c r="F27" s="84"/>
      <c r="G27" s="86">
        <f t="shared" si="0"/>
        <v>0</v>
      </c>
    </row>
    <row r="28" spans="1:7" ht="15.75">
      <c r="A28" s="65"/>
      <c r="B28" s="63"/>
      <c r="C28" s="62"/>
      <c r="D28" s="115"/>
      <c r="E28" s="64"/>
      <c r="F28" s="84"/>
      <c r="G28" s="86">
        <f t="shared" si="0"/>
        <v>0</v>
      </c>
    </row>
    <row r="29" spans="1:7" ht="15.75">
      <c r="A29" s="85"/>
      <c r="B29" s="63"/>
      <c r="C29" s="62"/>
      <c r="D29" s="62"/>
      <c r="E29" s="67"/>
      <c r="F29" s="84"/>
      <c r="G29" s="86">
        <f t="shared" si="0"/>
        <v>0</v>
      </c>
    </row>
    <row r="30" spans="1:7" ht="3" customHeight="1">
      <c r="A30" s="33"/>
      <c r="B30" s="32"/>
      <c r="C30" s="6"/>
      <c r="D30" s="73"/>
      <c r="E30" s="74"/>
      <c r="F30" s="74"/>
      <c r="G30" s="87"/>
    </row>
    <row r="31" spans="1:7" ht="15.75">
      <c r="A31" s="33"/>
      <c r="B31" s="32"/>
      <c r="D31" s="78" t="s">
        <v>120</v>
      </c>
      <c r="E31" s="67"/>
      <c r="F31" s="68"/>
      <c r="G31" s="88">
        <f>SUM(G25:G29)</f>
        <v>0</v>
      </c>
    </row>
    <row r="32" spans="1:7" ht="2.1" customHeight="1">
      <c r="A32" s="33"/>
      <c r="B32" s="32"/>
      <c r="D32" s="70"/>
      <c r="E32" s="71"/>
      <c r="F32" s="72"/>
      <c r="G32" s="91"/>
    </row>
    <row r="33" spans="1:7" ht="13.35" customHeight="1">
      <c r="A33" s="33"/>
      <c r="B33" s="32"/>
      <c r="D33" s="107"/>
      <c r="E33" s="103"/>
      <c r="F33" s="104"/>
      <c r="G33" s="108"/>
    </row>
    <row r="34" spans="1:7" ht="13.35" customHeight="1">
      <c r="A34" s="33"/>
      <c r="B34" s="32"/>
      <c r="D34" s="58" t="s">
        <v>174</v>
      </c>
      <c r="E34" s="103"/>
      <c r="F34" s="104"/>
      <c r="G34" s="108"/>
    </row>
    <row r="35" spans="1:7" ht="13.35" customHeight="1">
      <c r="A35" s="33"/>
      <c r="B35" s="32"/>
      <c r="D35" s="58" t="s">
        <v>114</v>
      </c>
    </row>
    <row r="36" spans="1:7" ht="13.35" customHeight="1">
      <c r="A36" s="33"/>
      <c r="B36" s="32"/>
      <c r="C36" s="9"/>
      <c r="D36" s="66" t="s">
        <v>161</v>
      </c>
      <c r="E36" s="9"/>
      <c r="F36" s="10"/>
      <c r="G36" s="92">
        <f t="shared" ref="G36" si="1">B36*F36</f>
        <v>0</v>
      </c>
    </row>
    <row r="37" spans="1:7" ht="13.35" customHeight="1">
      <c r="B37" s="24"/>
      <c r="D37" s="58" t="s">
        <v>162</v>
      </c>
    </row>
    <row r="38" spans="1:7" ht="13.35" customHeight="1">
      <c r="B38" s="24"/>
      <c r="D38" s="58"/>
    </row>
    <row r="39" spans="1:7" ht="13.35" customHeight="1">
      <c r="B39" s="24"/>
      <c r="D39" s="58" t="s">
        <v>160</v>
      </c>
    </row>
    <row r="40" spans="1:7">
      <c r="B40" s="24"/>
    </row>
    <row r="41" spans="1:7">
      <c r="A41" s="17"/>
      <c r="B41" s="17"/>
      <c r="C41" s="17"/>
      <c r="D41" s="17"/>
      <c r="E41" s="17"/>
      <c r="F41" s="19"/>
      <c r="G41" s="17"/>
    </row>
    <row r="42" spans="1:7">
      <c r="A42" s="17"/>
      <c r="B42" s="17"/>
      <c r="C42" s="17"/>
      <c r="D42" s="17"/>
      <c r="E42" s="17"/>
      <c r="F42" s="19"/>
      <c r="G42" s="17"/>
    </row>
    <row r="43" spans="1:7">
      <c r="A43" s="123"/>
      <c r="B43" s="123"/>
      <c r="C43" s="123"/>
      <c r="D43" s="123"/>
      <c r="E43" s="19"/>
      <c r="F43" s="19"/>
      <c r="G43" s="17"/>
    </row>
    <row r="44" spans="1:7">
      <c r="A44" s="17"/>
      <c r="B44" s="17"/>
      <c r="C44" s="17"/>
      <c r="D44" s="17"/>
      <c r="E44" s="17"/>
      <c r="F44" s="19"/>
      <c r="G44" s="20"/>
    </row>
    <row r="45" spans="1:7">
      <c r="A45" s="21"/>
      <c r="B45" s="17"/>
      <c r="C45" s="17"/>
      <c r="D45" s="17"/>
      <c r="E45" s="17"/>
      <c r="F45" s="19"/>
      <c r="G45" s="20"/>
    </row>
    <row r="46" spans="1:7">
      <c r="A46" s="22"/>
      <c r="B46" s="22"/>
      <c r="C46" s="22"/>
      <c r="D46" s="22"/>
      <c r="E46" s="22"/>
    </row>
  </sheetData>
  <protectedRanges>
    <protectedRange password="C701" sqref="G8" name="Bereich1_1"/>
  </protectedRanges>
  <mergeCells count="11">
    <mergeCell ref="A17:C17"/>
    <mergeCell ref="F20:G20"/>
    <mergeCell ref="F21:G21"/>
    <mergeCell ref="D23:E23"/>
    <mergeCell ref="A43:D43"/>
    <mergeCell ref="A12:D12"/>
    <mergeCell ref="A3:F4"/>
    <mergeCell ref="A8:D8"/>
    <mergeCell ref="A9:D9"/>
    <mergeCell ref="A10:D10"/>
    <mergeCell ref="A11:D11"/>
  </mergeCells>
  <pageMargins left="0.78740157480314965" right="0.39370078740157483" top="0.74803149606299213" bottom="0.19685039370078741" header="0.31496062992125984" footer="0"/>
  <pageSetup paperSize="9" orientation="portrait" r:id="rId1"/>
  <headerFooter>
    <oddHeader>&amp;R&amp;G
&amp;"Century Gothic,Standard"&amp;8&amp;P von &amp;N</oddHeader>
    <oddFooter>&amp;L&amp;"Century Gothic,Standard"&amp;7Holzbau Lutz OG
Am Sportplatz 3
6642 Stanzach
Mobil: 0699/191 68 685
UID: ATU 67426948
&amp;R&amp;"Century Gothic,Standard"&amp;7Firmenbuchnr: FN384102g
Bankverbindung 
Sparkassa Imst  
IBAN AT2120502000 00849588
BIC: SPIMAT 21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59"/>
  <sheetViews>
    <sheetView zoomScaleNormal="100" workbookViewId="0">
      <selection activeCell="C13" sqref="C13"/>
    </sheetView>
  </sheetViews>
  <sheetFormatPr baseColWidth="10" defaultColWidth="11.5703125" defaultRowHeight="15"/>
  <cols>
    <col min="1" max="1" width="6.42578125" customWidth="1"/>
    <col min="2" max="2" width="5.5703125" customWidth="1"/>
    <col min="3" max="3" width="10" customWidth="1"/>
    <col min="4" max="4" width="17.5703125" customWidth="1"/>
    <col min="5" max="5" width="21.85546875" customWidth="1"/>
    <col min="6" max="6" width="12" customWidth="1"/>
    <col min="7" max="7" width="12.42578125" customWidth="1"/>
    <col min="8" max="8" width="2" customWidth="1"/>
  </cols>
  <sheetData>
    <row r="3" spans="1:8" ht="14.45" customHeight="1">
      <c r="A3" s="129"/>
      <c r="B3" s="129"/>
      <c r="C3" s="129"/>
      <c r="D3" s="129"/>
      <c r="E3" s="129"/>
      <c r="F3" s="129"/>
    </row>
    <row r="4" spans="1:8" ht="17.45" customHeight="1">
      <c r="A4" s="129"/>
      <c r="B4" s="129"/>
      <c r="C4" s="129"/>
      <c r="D4" s="129"/>
      <c r="E4" s="129"/>
      <c r="F4" s="129"/>
    </row>
    <row r="5" spans="1:8" ht="17.45" customHeight="1"/>
    <row r="6" spans="1:8" ht="15.75">
      <c r="A6" s="75" t="s">
        <v>358</v>
      </c>
      <c r="B6" s="27"/>
      <c r="C6" s="27"/>
      <c r="D6" s="28"/>
      <c r="E6" s="28"/>
      <c r="F6" s="12"/>
      <c r="G6" s="13"/>
    </row>
    <row r="7" spans="1:8">
      <c r="F7" s="14"/>
      <c r="G7" s="15"/>
    </row>
    <row r="8" spans="1:8" ht="14.1" customHeight="1">
      <c r="A8" s="128" t="e">
        <f>VLOOKUP(G9,'Kundenstamm Re'!A:K,2,FALSE)&amp; " "</f>
        <v>#N/A</v>
      </c>
      <c r="B8" s="128"/>
      <c r="C8" s="128"/>
      <c r="D8" s="128"/>
      <c r="E8" s="93"/>
      <c r="F8" s="79" t="s">
        <v>116</v>
      </c>
      <c r="G8" s="60" t="s">
        <v>119</v>
      </c>
    </row>
    <row r="9" spans="1:8" ht="14.1" customHeight="1">
      <c r="A9" s="128" t="e">
        <f>VLOOKUP(G9,'Kundenstamm Re'!A:K,3,FALSE)&amp; " "</f>
        <v>#N/A</v>
      </c>
      <c r="B9" s="128"/>
      <c r="C9" s="128"/>
      <c r="D9" s="128"/>
      <c r="E9" s="93"/>
      <c r="F9" s="79" t="s">
        <v>109</v>
      </c>
      <c r="G9" s="60" t="s">
        <v>119</v>
      </c>
      <c r="H9" s="1"/>
    </row>
    <row r="10" spans="1:8" ht="14.1" customHeight="1">
      <c r="A10" s="128" t="e">
        <f>VLOOKUP(G9,'Kundenstamm Re'!A:K,4,FALSE)&amp; " "</f>
        <v>#N/A</v>
      </c>
      <c r="B10" s="128"/>
      <c r="C10" s="128"/>
      <c r="D10" s="128"/>
      <c r="E10" s="93"/>
      <c r="F10" s="79" t="s">
        <v>110</v>
      </c>
      <c r="G10" s="61">
        <f ca="1">TODAY()</f>
        <v>46169</v>
      </c>
    </row>
    <row r="11" spans="1:8" ht="14.1" customHeight="1">
      <c r="A11" s="128" t="e">
        <f>VLOOKUP(G9,'Kundenstamm Re'!A:K,5,FALSE)&amp; " "</f>
        <v>#N/A</v>
      </c>
      <c r="B11" s="128"/>
      <c r="C11" s="128"/>
      <c r="D11" s="128"/>
      <c r="E11" s="93"/>
      <c r="F11" s="79" t="s">
        <v>1</v>
      </c>
      <c r="G11" s="59" t="e">
        <f>VLOOKUP(G9,'Kundenstamm Re'!A:K,7,FALSE)&amp; " "</f>
        <v>#N/A</v>
      </c>
      <c r="H11" s="1"/>
    </row>
    <row r="12" spans="1:8" ht="14.1" customHeight="1">
      <c r="A12" s="128" t="e">
        <f>VLOOKUP(G9,'Kundenstamm Re'!A:K,6,FALSE)&amp; " "</f>
        <v>#N/A</v>
      </c>
      <c r="B12" s="128"/>
      <c r="C12" s="128"/>
      <c r="D12" s="128"/>
      <c r="E12" s="93"/>
      <c r="F12" s="79" t="s">
        <v>117</v>
      </c>
      <c r="G12" s="61" t="s">
        <v>118</v>
      </c>
    </row>
    <row r="16" spans="1:8" ht="15.75">
      <c r="A16" s="16"/>
      <c r="B16" s="16"/>
    </row>
    <row r="17" spans="1:7" ht="18.75">
      <c r="A17" s="110" t="s">
        <v>200</v>
      </c>
      <c r="B17" s="110"/>
      <c r="C17" s="110"/>
      <c r="D17" s="109"/>
      <c r="E17" s="109"/>
    </row>
    <row r="18" spans="1:7" ht="5.0999999999999996" customHeight="1">
      <c r="A18" s="83"/>
      <c r="B18" s="83"/>
      <c r="C18" s="83"/>
      <c r="D18" s="57"/>
      <c r="E18" s="57"/>
    </row>
    <row r="19" spans="1:7" ht="12.95" customHeight="1">
      <c r="A19" s="67" t="s">
        <v>201</v>
      </c>
      <c r="B19" s="69"/>
      <c r="C19" s="58"/>
      <c r="D19" s="58"/>
      <c r="E19" s="58"/>
    </row>
    <row r="20" spans="1:7" ht="12.95" customHeight="1">
      <c r="A20" s="67" t="s">
        <v>202</v>
      </c>
      <c r="B20" s="58"/>
      <c r="D20" s="58"/>
      <c r="E20" s="58"/>
      <c r="F20" s="125"/>
      <c r="G20" s="125"/>
    </row>
    <row r="21" spans="1:7" ht="12.95" customHeight="1">
      <c r="A21" s="67" t="s">
        <v>203</v>
      </c>
      <c r="B21" s="58"/>
      <c r="D21" s="58"/>
      <c r="E21" s="58"/>
      <c r="F21" s="69"/>
      <c r="G21" s="69"/>
    </row>
    <row r="22" spans="1:7" ht="12.95" customHeight="1">
      <c r="A22" s="58" t="s">
        <v>204</v>
      </c>
      <c r="B22" s="58"/>
      <c r="D22" s="58"/>
      <c r="E22" s="58"/>
      <c r="F22" s="124"/>
      <c r="G22" s="125"/>
    </row>
    <row r="23" spans="1:7" ht="9.9499999999999993" customHeight="1">
      <c r="A23" s="6"/>
      <c r="B23" s="6"/>
      <c r="F23" s="7"/>
      <c r="G23" s="7"/>
    </row>
    <row r="24" spans="1:7" ht="18" customHeight="1">
      <c r="A24" s="111" t="s">
        <v>206</v>
      </c>
      <c r="B24" s="80"/>
      <c r="C24" s="81" t="s">
        <v>205</v>
      </c>
      <c r="D24" s="80" t="s">
        <v>207</v>
      </c>
      <c r="E24" s="126" t="s">
        <v>208</v>
      </c>
      <c r="F24" s="126"/>
      <c r="G24" s="82" t="s">
        <v>209</v>
      </c>
    </row>
    <row r="25" spans="1:7" ht="15.75">
      <c r="A25" s="65"/>
      <c r="B25" s="63"/>
      <c r="C25" s="112"/>
      <c r="D25" s="62"/>
      <c r="E25" s="62"/>
      <c r="F25" s="84"/>
      <c r="G25" s="86"/>
    </row>
    <row r="26" spans="1:7" ht="15.75">
      <c r="A26" s="65"/>
      <c r="B26" s="63"/>
      <c r="C26" s="62"/>
      <c r="D26" s="62"/>
      <c r="E26" s="62"/>
      <c r="F26" s="84"/>
      <c r="G26" s="86">
        <f>B26*F26</f>
        <v>0</v>
      </c>
    </row>
    <row r="27" spans="1:7" ht="15.75">
      <c r="A27" s="85"/>
      <c r="B27" s="63"/>
      <c r="C27" s="62"/>
      <c r="D27" s="62"/>
      <c r="E27" s="62"/>
      <c r="F27" s="84"/>
      <c r="G27" s="86">
        <f>B27*F27</f>
        <v>0</v>
      </c>
    </row>
    <row r="28" spans="1:7" ht="3" customHeight="1">
      <c r="A28" s="33"/>
      <c r="B28" s="32"/>
      <c r="C28" s="6"/>
      <c r="D28" s="73"/>
      <c r="E28" s="73"/>
      <c r="F28" s="74"/>
      <c r="G28" s="87"/>
    </row>
    <row r="29" spans="1:7" ht="15.75">
      <c r="A29" s="33"/>
      <c r="B29" s="32"/>
      <c r="D29" s="67" t="s">
        <v>210</v>
      </c>
      <c r="E29" s="67"/>
      <c r="F29" s="89">
        <f>SUM(F25:F27)</f>
        <v>0</v>
      </c>
      <c r="G29" s="89"/>
    </row>
    <row r="30" spans="1:7" ht="15.75">
      <c r="A30" s="33"/>
      <c r="B30" s="32"/>
      <c r="D30" s="76" t="s">
        <v>211</v>
      </c>
      <c r="E30" s="76"/>
      <c r="F30" s="90">
        <v>3</v>
      </c>
      <c r="G30" s="90"/>
    </row>
    <row r="31" spans="1:7">
      <c r="A31" s="33"/>
      <c r="B31" s="32"/>
      <c r="D31" s="78" t="s">
        <v>212</v>
      </c>
      <c r="E31" s="78"/>
      <c r="F31" s="88">
        <f>SUM(F29:F30)</f>
        <v>3</v>
      </c>
      <c r="G31" s="88"/>
    </row>
    <row r="32" spans="1:7" ht="2.1" customHeight="1">
      <c r="A32" s="33"/>
      <c r="B32" s="32"/>
      <c r="D32" s="70"/>
      <c r="E32" s="70"/>
      <c r="F32" s="72"/>
      <c r="G32" s="91"/>
    </row>
    <row r="33" spans="1:10" ht="18" customHeight="1">
      <c r="A33" s="33"/>
      <c r="B33" s="32"/>
      <c r="D33" s="58"/>
      <c r="E33" s="58"/>
    </row>
    <row r="34" spans="1:10" ht="12" customHeight="1">
      <c r="A34" s="33"/>
      <c r="B34" s="32"/>
      <c r="C34" s="9"/>
      <c r="D34" s="66" t="s">
        <v>161</v>
      </c>
      <c r="E34" s="66"/>
      <c r="F34" s="10"/>
      <c r="G34" s="92">
        <f>B34*F34</f>
        <v>0</v>
      </c>
    </row>
    <row r="35" spans="1:10" ht="12" customHeight="1">
      <c r="B35" s="24"/>
      <c r="D35" s="58" t="s">
        <v>162</v>
      </c>
      <c r="E35" s="58"/>
    </row>
    <row r="36" spans="1:10" ht="5.0999999999999996" customHeight="1">
      <c r="B36" s="24"/>
      <c r="D36" s="58"/>
      <c r="E36" s="58"/>
    </row>
    <row r="37" spans="1:10" ht="15.75">
      <c r="B37" s="24"/>
      <c r="D37" s="58"/>
      <c r="E37" s="58"/>
    </row>
    <row r="38" spans="1:10" ht="15.75">
      <c r="A38" s="67" t="s">
        <v>213</v>
      </c>
      <c r="B38" s="24"/>
    </row>
    <row r="39" spans="1:10" ht="15" customHeight="1">
      <c r="B39" s="24"/>
    </row>
    <row r="40" spans="1:10" ht="15.75" customHeight="1">
      <c r="A40" s="67" t="s">
        <v>214</v>
      </c>
      <c r="B40" s="24"/>
    </row>
    <row r="41" spans="1:10" ht="15.75" customHeight="1">
      <c r="A41" s="67" t="s">
        <v>215</v>
      </c>
      <c r="B41" s="11"/>
    </row>
    <row r="42" spans="1:10" ht="10.35" customHeight="1">
      <c r="A42" s="130"/>
      <c r="B42" s="130"/>
      <c r="C42" s="130"/>
      <c r="D42" s="26"/>
      <c r="E42" s="26"/>
      <c r="F42" s="131"/>
      <c r="G42" s="131"/>
    </row>
    <row r="43" spans="1:10" ht="10.35" customHeight="1">
      <c r="A43" s="26"/>
      <c r="B43" s="8"/>
      <c r="C43" s="26"/>
      <c r="D43" s="26"/>
      <c r="E43" s="26"/>
      <c r="F43" s="131"/>
      <c r="G43" s="131"/>
    </row>
    <row r="44" spans="1:10" ht="10.35" customHeight="1">
      <c r="A44" s="26"/>
      <c r="B44" s="8"/>
      <c r="C44" s="26"/>
      <c r="D44" s="26"/>
      <c r="E44" s="26"/>
      <c r="F44" s="131"/>
      <c r="G44" s="131"/>
    </row>
    <row r="45" spans="1:10" ht="10.35" customHeight="1">
      <c r="A45" s="26"/>
      <c r="B45" s="8"/>
      <c r="C45" s="26"/>
      <c r="D45" s="26"/>
      <c r="E45" s="26"/>
      <c r="F45" s="131"/>
      <c r="G45" s="131"/>
    </row>
    <row r="46" spans="1:10" ht="10.35" customHeight="1">
      <c r="A46" s="26"/>
      <c r="B46" s="11"/>
      <c r="F46" s="131"/>
      <c r="G46" s="131"/>
      <c r="J46" s="2"/>
    </row>
    <row r="47" spans="1:10" ht="10.35" customHeight="1">
      <c r="A47" s="26"/>
      <c r="B47" s="11"/>
      <c r="F47" s="131"/>
      <c r="G47" s="131"/>
    </row>
    <row r="48" spans="1:10">
      <c r="B48" s="11"/>
    </row>
    <row r="49" spans="1:7">
      <c r="B49" s="11"/>
    </row>
    <row r="50" spans="1:7">
      <c r="B50" s="11"/>
    </row>
    <row r="51" spans="1:7">
      <c r="B51" s="11"/>
    </row>
    <row r="52" spans="1:7">
      <c r="B52" s="11"/>
    </row>
    <row r="53" spans="1:7">
      <c r="A53" s="17"/>
      <c r="B53" s="17"/>
      <c r="C53" s="17"/>
      <c r="D53" s="17"/>
      <c r="E53" s="17"/>
      <c r="F53" s="18"/>
      <c r="G53" s="17"/>
    </row>
    <row r="54" spans="1:7">
      <c r="A54" s="17"/>
      <c r="B54" s="17"/>
      <c r="C54" s="17"/>
      <c r="D54" s="17"/>
      <c r="E54" s="17"/>
      <c r="F54" s="19"/>
      <c r="G54" s="17"/>
    </row>
    <row r="55" spans="1:7">
      <c r="A55" s="17"/>
      <c r="B55" s="17"/>
      <c r="C55" s="17"/>
      <c r="D55" s="17"/>
      <c r="E55" s="17"/>
      <c r="F55" s="19"/>
      <c r="G55" s="17"/>
    </row>
    <row r="56" spans="1:7">
      <c r="A56" s="123"/>
      <c r="B56" s="123"/>
      <c r="C56" s="123"/>
      <c r="D56" s="123"/>
      <c r="E56" s="19"/>
      <c r="F56" s="19"/>
      <c r="G56" s="17"/>
    </row>
    <row r="57" spans="1:7">
      <c r="A57" s="17"/>
      <c r="B57" s="17"/>
      <c r="C57" s="17"/>
      <c r="D57" s="17"/>
      <c r="E57" s="17"/>
      <c r="F57" s="19"/>
      <c r="G57" s="20"/>
    </row>
    <row r="58" spans="1:7">
      <c r="A58" s="21"/>
      <c r="B58" s="17"/>
      <c r="C58" s="17"/>
      <c r="D58" s="17"/>
      <c r="E58" s="17"/>
      <c r="F58" s="19"/>
      <c r="G58" s="20"/>
    </row>
    <row r="59" spans="1:7">
      <c r="A59" s="22"/>
      <c r="B59" s="22"/>
      <c r="C59" s="22"/>
      <c r="D59" s="22"/>
      <c r="E59" s="22"/>
    </row>
  </sheetData>
  <protectedRanges>
    <protectedRange password="C701" sqref="G8" name="Bereich1_1"/>
  </protectedRanges>
  <mergeCells count="17">
    <mergeCell ref="A56:D56"/>
    <mergeCell ref="F20:G20"/>
    <mergeCell ref="F22:G22"/>
    <mergeCell ref="A42:C42"/>
    <mergeCell ref="F42:G42"/>
    <mergeCell ref="E24:F24"/>
    <mergeCell ref="F43:G43"/>
    <mergeCell ref="F44:G44"/>
    <mergeCell ref="F45:G45"/>
    <mergeCell ref="F46:G46"/>
    <mergeCell ref="F47:G47"/>
    <mergeCell ref="A12:D12"/>
    <mergeCell ref="A3:F4"/>
    <mergeCell ref="A8:D8"/>
    <mergeCell ref="A9:D9"/>
    <mergeCell ref="A10:D10"/>
    <mergeCell ref="A11:D11"/>
  </mergeCells>
  <pageMargins left="0.78740157480314965" right="0.39370078740157483" top="0.74803149606299213" bottom="0.19685039370078741" header="0.31496062992125984" footer="0"/>
  <pageSetup paperSize="9" orientation="portrait" r:id="rId1"/>
  <headerFooter>
    <oddFooter xml:space="preserve">&amp;L&amp;8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1"/>
  <sheetViews>
    <sheetView workbookViewId="0">
      <selection activeCell="A2" sqref="A2:AD2"/>
    </sheetView>
  </sheetViews>
  <sheetFormatPr baseColWidth="10" defaultColWidth="11.5703125" defaultRowHeight="15"/>
  <cols>
    <col min="1" max="34" width="2.42578125" style="31" customWidth="1"/>
    <col min="35" max="35" width="1.5703125" style="31" customWidth="1"/>
    <col min="36" max="38" width="10.5703125" style="31" customWidth="1"/>
    <col min="39" max="16384" width="11.5703125" style="31"/>
  </cols>
  <sheetData>
    <row r="1" spans="1:31" ht="20.100000000000001" customHeight="1">
      <c r="A1" s="30" t="s">
        <v>359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1" ht="26.45" customHeight="1">
      <c r="A2" s="132" t="s">
        <v>103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</row>
    <row r="3" spans="1:31" ht="23.1" customHeight="1">
      <c r="A3" s="132" t="s">
        <v>104</v>
      </c>
      <c r="B3" s="132"/>
      <c r="C3" s="132"/>
      <c r="D3" s="132"/>
      <c r="E3" s="132"/>
      <c r="F3" s="132"/>
      <c r="G3" s="132"/>
      <c r="H3" s="132"/>
      <c r="I3" s="132"/>
      <c r="J3" s="132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134" t="e">
        <f>'Rechnung inkl. MWST'!#REF!</f>
        <v>#REF!</v>
      </c>
      <c r="X3" s="134"/>
      <c r="Y3" s="134"/>
      <c r="Z3" s="134"/>
      <c r="AA3" s="134"/>
      <c r="AB3" s="134"/>
      <c r="AC3" s="134"/>
      <c r="AD3" s="134"/>
      <c r="AE3" s="134"/>
    </row>
    <row r="4" spans="1:31" ht="27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spans="1:31" ht="24" customHeight="1">
      <c r="A5" s="30" t="s">
        <v>105</v>
      </c>
      <c r="B5" s="30"/>
      <c r="C5" s="133" t="str">
        <f>'Rechnung inkl. MWST'!G9</f>
        <v>XXX</v>
      </c>
      <c r="D5" s="133"/>
      <c r="E5" s="133"/>
      <c r="F5" s="133"/>
      <c r="G5" s="133"/>
      <c r="H5" s="133" t="s">
        <v>106</v>
      </c>
      <c r="I5" s="133"/>
      <c r="J5" s="133" t="str">
        <f>'Rechnung inkl. MWST'!B19</f>
        <v>XXX</v>
      </c>
      <c r="K5" s="133"/>
      <c r="L5" s="133"/>
      <c r="M5" s="133"/>
      <c r="N5" s="133"/>
      <c r="O5" s="133"/>
      <c r="P5" s="133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spans="1:31" ht="24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31" ht="24" customHeight="1">
      <c r="A7" s="132"/>
      <c r="B7" s="132"/>
      <c r="C7" s="132"/>
      <c r="D7" s="132"/>
      <c r="E7" s="132"/>
      <c r="F7" s="132"/>
      <c r="G7" s="132"/>
      <c r="H7" s="132"/>
      <c r="I7" s="132"/>
      <c r="J7" s="132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1" ht="24" customHeight="1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</row>
    <row r="9" spans="1:31" ht="26.1" customHeight="1"/>
    <row r="10" spans="1:31" ht="26.1" customHeight="1"/>
    <row r="11" spans="1:31" ht="26.1" customHeight="1"/>
  </sheetData>
  <mergeCells count="8">
    <mergeCell ref="A8:AD8"/>
    <mergeCell ref="A2:AD2"/>
    <mergeCell ref="A3:J3"/>
    <mergeCell ref="H5:I5"/>
    <mergeCell ref="A7:J7"/>
    <mergeCell ref="C5:G5"/>
    <mergeCell ref="J5:P5"/>
    <mergeCell ref="W3:AE3"/>
  </mergeCells>
  <pageMargins left="0.70866141732283472" right="0.70866141732283472" top="0.55118110236220474" bottom="0.78740157480314965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"/>
  <sheetViews>
    <sheetView workbookViewId="0">
      <selection activeCell="J4" sqref="J4"/>
    </sheetView>
  </sheetViews>
  <sheetFormatPr baseColWidth="10" defaultRowHeight="15"/>
  <cols>
    <col min="2" max="2" width="6" customWidth="1"/>
  </cols>
  <sheetData>
    <row r="5" spans="3:3" ht="28.35" customHeight="1">
      <c r="C5" s="29"/>
    </row>
  </sheetData>
  <pageMargins left="0.70866141732283472" right="0.70866141732283472" top="0.19685039370078741" bottom="0.78740157480314965" header="0.31496062992125984" footer="0.31496062992125984"/>
  <pageSetup paperSize="2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H56"/>
  <sheetViews>
    <sheetView zoomScaleNormal="100" workbookViewId="0">
      <selection activeCell="J28" sqref="J28"/>
    </sheetView>
  </sheetViews>
  <sheetFormatPr baseColWidth="10" defaultColWidth="11.5703125" defaultRowHeight="15"/>
  <cols>
    <col min="1" max="1" width="6.42578125" customWidth="1"/>
    <col min="2" max="2" width="8.140625" customWidth="1"/>
    <col min="3" max="3" width="6.5703125" customWidth="1"/>
    <col min="4" max="4" width="38.85546875" customWidth="1"/>
    <col min="5" max="5" width="4.85546875" customWidth="1"/>
    <col min="6" max="6" width="12" customWidth="1"/>
    <col min="7" max="7" width="13.5703125" customWidth="1"/>
    <col min="8" max="8" width="2" customWidth="1"/>
    <col min="11" max="11" width="11.5703125" customWidth="1"/>
  </cols>
  <sheetData>
    <row r="3" spans="1:8" ht="14.45" customHeight="1">
      <c r="A3" s="129"/>
      <c r="B3" s="129"/>
      <c r="C3" s="129"/>
      <c r="D3" s="129"/>
      <c r="E3" s="129"/>
      <c r="F3" s="129"/>
    </row>
    <row r="4" spans="1:8" ht="17.45" customHeight="1">
      <c r="A4" s="129"/>
      <c r="B4" s="129"/>
      <c r="C4" s="129"/>
      <c r="D4" s="129"/>
      <c r="E4" s="129"/>
      <c r="F4" s="129"/>
    </row>
    <row r="5" spans="1:8" ht="17.45" customHeight="1"/>
    <row r="6" spans="1:8" ht="15.75">
      <c r="A6" s="75"/>
      <c r="B6" s="27"/>
      <c r="C6" s="27"/>
      <c r="D6" s="28"/>
      <c r="E6" s="23"/>
      <c r="F6" s="12"/>
      <c r="G6" s="13"/>
    </row>
    <row r="7" spans="1:8">
      <c r="F7" s="14"/>
      <c r="G7" s="15"/>
    </row>
    <row r="8" spans="1:8" ht="14.1" customHeight="1">
      <c r="A8" s="128"/>
      <c r="B8" s="128"/>
      <c r="C8" s="128"/>
      <c r="D8" s="128"/>
      <c r="E8" s="69"/>
      <c r="F8" s="79"/>
      <c r="G8" s="60"/>
    </row>
    <row r="9" spans="1:8" ht="14.1" customHeight="1">
      <c r="A9" s="128"/>
      <c r="B9" s="128"/>
      <c r="C9" s="128"/>
      <c r="D9" s="128"/>
      <c r="E9" s="69"/>
      <c r="F9" s="79"/>
      <c r="G9" s="60"/>
      <c r="H9" s="25"/>
    </row>
    <row r="10" spans="1:8" ht="14.1" customHeight="1">
      <c r="A10" s="128"/>
      <c r="B10" s="128"/>
      <c r="C10" s="128"/>
      <c r="D10" s="128"/>
      <c r="E10" s="69"/>
      <c r="F10" s="79"/>
      <c r="G10" s="61"/>
    </row>
    <row r="11" spans="1:8" ht="14.1" customHeight="1">
      <c r="A11" s="128"/>
      <c r="B11" s="128"/>
      <c r="C11" s="128"/>
      <c r="D11" s="128"/>
      <c r="E11" s="69"/>
      <c r="F11" s="79"/>
      <c r="G11" s="59"/>
      <c r="H11" s="25"/>
    </row>
    <row r="12" spans="1:8" ht="14.1" customHeight="1">
      <c r="A12" s="128"/>
      <c r="B12" s="128"/>
      <c r="C12" s="128"/>
      <c r="D12" s="128"/>
      <c r="E12" s="69"/>
      <c r="F12" s="79"/>
      <c r="G12" s="61"/>
    </row>
    <row r="16" spans="1:8" ht="15.75">
      <c r="A16" s="16"/>
      <c r="B16" s="16"/>
    </row>
    <row r="17" spans="1:7" ht="18.75">
      <c r="A17" s="127"/>
      <c r="B17" s="127"/>
      <c r="C17" s="127"/>
      <c r="D17" s="57"/>
    </row>
    <row r="18" spans="1:7" ht="5.0999999999999996" customHeight="1">
      <c r="A18" s="83"/>
      <c r="B18" s="83"/>
      <c r="C18" s="83"/>
      <c r="D18" s="57"/>
    </row>
    <row r="19" spans="1:7" ht="12.95" customHeight="1">
      <c r="A19" s="58"/>
      <c r="B19" s="69"/>
      <c r="C19" s="58"/>
      <c r="D19" s="58"/>
      <c r="E19" s="58"/>
    </row>
    <row r="20" spans="1:7" ht="12.95" customHeight="1">
      <c r="A20" s="58"/>
      <c r="B20" s="58"/>
      <c r="D20" s="58"/>
      <c r="E20" s="58"/>
      <c r="F20" s="125"/>
      <c r="G20" s="125"/>
    </row>
    <row r="21" spans="1:7" ht="12.95" customHeight="1">
      <c r="A21" s="58"/>
      <c r="B21" s="58"/>
      <c r="D21" s="58"/>
      <c r="E21" s="58"/>
      <c r="F21" s="124"/>
      <c r="G21" s="125"/>
    </row>
    <row r="22" spans="1:7" ht="9.9499999999999993" customHeight="1">
      <c r="A22" s="6"/>
      <c r="B22" s="6"/>
      <c r="F22" s="7"/>
      <c r="G22" s="7"/>
    </row>
    <row r="23" spans="1:7" ht="18" customHeight="1">
      <c r="A23" s="96"/>
      <c r="B23" s="96"/>
      <c r="C23" s="97"/>
      <c r="D23" s="135"/>
      <c r="E23" s="135"/>
      <c r="F23" s="96"/>
      <c r="G23" s="98"/>
    </row>
    <row r="24" spans="1:7" ht="15.75">
      <c r="A24" s="65"/>
      <c r="B24" s="63"/>
      <c r="C24" s="62"/>
      <c r="D24" s="62"/>
      <c r="E24" s="64"/>
      <c r="F24" s="84"/>
      <c r="G24" s="86"/>
    </row>
    <row r="25" spans="1:7" ht="15.75">
      <c r="A25" s="65"/>
      <c r="B25" s="63"/>
      <c r="C25" s="62"/>
      <c r="D25" s="62"/>
      <c r="E25" s="64"/>
      <c r="F25" s="84"/>
      <c r="G25" s="86"/>
    </row>
    <row r="26" spans="1:7" ht="15.75">
      <c r="A26" s="65"/>
      <c r="B26" s="63"/>
      <c r="C26" s="62"/>
      <c r="D26" s="62"/>
      <c r="E26" s="64"/>
      <c r="F26" s="84"/>
      <c r="G26" s="86"/>
    </row>
    <row r="27" spans="1:7" ht="15.75">
      <c r="A27" s="65"/>
      <c r="B27" s="63"/>
      <c r="C27" s="62"/>
      <c r="D27" s="62"/>
      <c r="E27" s="64"/>
      <c r="F27" s="84"/>
      <c r="G27" s="86"/>
    </row>
    <row r="28" spans="1:7" ht="15.75">
      <c r="A28" s="65"/>
      <c r="B28" s="63"/>
      <c r="C28" s="62"/>
      <c r="D28" s="62"/>
      <c r="E28" s="64"/>
      <c r="F28" s="84"/>
      <c r="G28" s="86"/>
    </row>
    <row r="29" spans="1:7" ht="15.75">
      <c r="A29" s="65"/>
      <c r="B29" s="63"/>
      <c r="C29" s="62"/>
      <c r="D29" s="62"/>
      <c r="E29" s="64"/>
      <c r="F29" s="84"/>
      <c r="G29" s="86"/>
    </row>
    <row r="30" spans="1:7" ht="15.75">
      <c r="A30" s="65"/>
      <c r="B30" s="63"/>
      <c r="C30" s="62"/>
      <c r="D30" s="62"/>
      <c r="E30" s="64"/>
      <c r="F30" s="84"/>
      <c r="G30" s="86"/>
    </row>
    <row r="31" spans="1:7" ht="15.75">
      <c r="A31" s="65"/>
      <c r="B31" s="63"/>
      <c r="C31" s="62"/>
      <c r="D31" s="62"/>
      <c r="E31" s="64"/>
      <c r="F31" s="84"/>
      <c r="G31" s="86"/>
    </row>
    <row r="32" spans="1:7" ht="15.75">
      <c r="A32" s="65"/>
      <c r="B32" s="63"/>
      <c r="C32" s="62"/>
      <c r="D32" s="62"/>
      <c r="E32" s="64"/>
      <c r="F32" s="84"/>
      <c r="G32" s="86"/>
    </row>
    <row r="33" spans="1:7" ht="15.75">
      <c r="A33" s="65"/>
      <c r="B33" s="63"/>
      <c r="C33" s="62"/>
      <c r="D33" s="62"/>
      <c r="E33" s="64"/>
      <c r="F33" s="84"/>
      <c r="G33" s="86"/>
    </row>
    <row r="34" spans="1:7" ht="15.75">
      <c r="A34" s="65"/>
      <c r="B34" s="63"/>
      <c r="C34" s="62"/>
      <c r="D34" s="62"/>
      <c r="E34" s="64"/>
      <c r="F34" s="84"/>
      <c r="G34" s="86"/>
    </row>
    <row r="35" spans="1:7" ht="15.75">
      <c r="A35" s="65"/>
      <c r="B35" s="63"/>
      <c r="C35" s="62"/>
      <c r="D35" s="62"/>
      <c r="E35" s="64"/>
      <c r="F35" s="84"/>
      <c r="G35" s="86"/>
    </row>
    <row r="36" spans="1:7" ht="15.75">
      <c r="A36" s="65"/>
      <c r="B36" s="63"/>
      <c r="C36" s="62"/>
      <c r="D36" s="62"/>
      <c r="E36" s="64"/>
      <c r="F36" s="84"/>
      <c r="G36" s="86"/>
    </row>
    <row r="37" spans="1:7" ht="15.75">
      <c r="A37" s="65"/>
      <c r="B37" s="63"/>
      <c r="C37" s="62"/>
      <c r="D37" s="62"/>
      <c r="E37" s="64"/>
      <c r="F37" s="84"/>
      <c r="G37" s="86"/>
    </row>
    <row r="38" spans="1:7" ht="15.75">
      <c r="A38" s="65"/>
      <c r="B38" s="65"/>
      <c r="C38" s="62"/>
      <c r="D38" s="62"/>
      <c r="E38" s="64"/>
      <c r="F38" s="84"/>
      <c r="G38" s="86"/>
    </row>
    <row r="39" spans="1:7" ht="15.75">
      <c r="A39" s="85"/>
      <c r="B39" s="63"/>
      <c r="C39" s="62"/>
      <c r="D39" s="62"/>
      <c r="E39" s="67"/>
      <c r="F39" s="84"/>
      <c r="G39" s="86"/>
    </row>
    <row r="40" spans="1:7" ht="3" customHeight="1">
      <c r="A40" s="33"/>
      <c r="B40" s="32"/>
      <c r="C40" s="6"/>
      <c r="D40" s="43"/>
      <c r="E40" s="6"/>
      <c r="F40" s="6"/>
    </row>
    <row r="41" spans="1:7" ht="15.75">
      <c r="A41" s="33"/>
      <c r="B41" s="32"/>
      <c r="D41" s="67"/>
      <c r="E41" s="67"/>
      <c r="F41" s="68"/>
      <c r="G41" s="89"/>
    </row>
    <row r="42" spans="1:7" ht="15.75">
      <c r="A42" s="33"/>
      <c r="B42" s="32"/>
      <c r="D42" s="100"/>
      <c r="E42" s="100"/>
      <c r="F42" s="101"/>
      <c r="G42" s="102"/>
    </row>
    <row r="43" spans="1:7" ht="15.75">
      <c r="A43" s="33"/>
      <c r="B43" s="32"/>
      <c r="D43" s="78"/>
      <c r="E43" s="67"/>
      <c r="F43" s="68"/>
      <c r="G43" s="88"/>
    </row>
    <row r="44" spans="1:7" ht="2.1" customHeight="1">
      <c r="A44" s="33"/>
      <c r="B44" s="32"/>
      <c r="D44" s="107"/>
      <c r="E44" s="103"/>
      <c r="F44" s="104"/>
      <c r="G44" s="108"/>
    </row>
    <row r="45" spans="1:7" ht="18" customHeight="1">
      <c r="A45" s="33"/>
      <c r="B45" s="32"/>
      <c r="D45" s="58"/>
    </row>
    <row r="46" spans="1:7" ht="12" customHeight="1">
      <c r="A46" s="33"/>
      <c r="B46" s="32"/>
      <c r="C46" s="9"/>
      <c r="D46" s="66"/>
      <c r="E46" s="9"/>
      <c r="F46" s="10"/>
      <c r="G46" s="92"/>
    </row>
    <row r="47" spans="1:7" ht="12" customHeight="1">
      <c r="B47" s="24"/>
      <c r="D47" s="58"/>
    </row>
    <row r="48" spans="1:7" ht="5.0999999999999996" customHeight="1">
      <c r="B48" s="24"/>
      <c r="D48" s="58"/>
    </row>
    <row r="49" spans="1:7" ht="15.75">
      <c r="B49" s="24"/>
      <c r="D49" s="58"/>
    </row>
    <row r="50" spans="1:7">
      <c r="B50" s="24"/>
    </row>
    <row r="51" spans="1:7">
      <c r="A51" s="17"/>
      <c r="B51" s="17"/>
      <c r="C51" s="17"/>
      <c r="D51" s="17"/>
      <c r="E51" s="17"/>
      <c r="F51" s="19"/>
      <c r="G51" s="17"/>
    </row>
    <row r="52" spans="1:7">
      <c r="A52" s="17"/>
      <c r="B52" s="17"/>
      <c r="C52" s="17"/>
      <c r="D52" s="17"/>
      <c r="E52" s="17"/>
      <c r="F52" s="19"/>
      <c r="G52" s="17"/>
    </row>
    <row r="53" spans="1:7">
      <c r="A53" s="123"/>
      <c r="B53" s="123"/>
      <c r="C53" s="123"/>
      <c r="D53" s="123"/>
      <c r="E53" s="19"/>
      <c r="F53" s="19"/>
      <c r="G53" s="17"/>
    </row>
    <row r="54" spans="1:7">
      <c r="A54" s="17"/>
      <c r="B54" s="17"/>
      <c r="C54" s="17"/>
      <c r="D54" s="17"/>
      <c r="E54" s="17"/>
      <c r="F54" s="19"/>
      <c r="G54" s="20"/>
    </row>
    <row r="55" spans="1:7">
      <c r="A55" s="106"/>
      <c r="B55" s="17"/>
      <c r="C55" s="17"/>
      <c r="D55" s="17"/>
      <c r="E55" s="17"/>
      <c r="F55" s="19"/>
      <c r="G55" s="20"/>
    </row>
    <row r="56" spans="1:7">
      <c r="A56" s="22"/>
      <c r="B56" s="22"/>
      <c r="C56" s="22"/>
      <c r="D56" s="22"/>
      <c r="E56" s="22"/>
    </row>
  </sheetData>
  <protectedRanges>
    <protectedRange password="C701" sqref="G8" name="Bereich1_1"/>
  </protectedRanges>
  <mergeCells count="11">
    <mergeCell ref="A17:C17"/>
    <mergeCell ref="F20:G20"/>
    <mergeCell ref="F21:G21"/>
    <mergeCell ref="D23:E23"/>
    <mergeCell ref="A53:D53"/>
    <mergeCell ref="A12:D12"/>
    <mergeCell ref="A3:F4"/>
    <mergeCell ref="A8:D8"/>
    <mergeCell ref="A9:D9"/>
    <mergeCell ref="A10:D10"/>
    <mergeCell ref="A11:D11"/>
  </mergeCells>
  <pageMargins left="0.78740157480314965" right="0.39370078740157483" top="0.74803149606299213" bottom="0.19685039370078741" header="0.31496062992125984" footer="0"/>
  <pageSetup paperSize="9" orientation="portrait" useFirstPageNumber="1" r:id="rId1"/>
  <headerFooter>
    <oddHeader>&amp;L&amp;"Calibri"&amp;10 WallnerMild Holz·Bau·Software                      Bemessung Holzbau_x000D_ support@bemessung.com                            www.bemessung.com&amp;R&amp;"Calibri"&amp;10_x000D_Decke</oddHeader>
    <oddFooter>&amp;L&amp;"Calibri"&amp;10  18.01.2023            &amp;C&amp;"Calibri"&amp;5Bemessung Holzbau EN, V 12.5.4 (18.5.2020)_x000D_&amp;G[AT]&amp;R&amp;"Calibri"&amp;10Seite: 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J68"/>
  <sheetViews>
    <sheetView zoomScaleNormal="100" zoomScaleSheetLayoutView="110" workbookViewId="0">
      <selection activeCell="K49" sqref="K49"/>
    </sheetView>
  </sheetViews>
  <sheetFormatPr baseColWidth="10" defaultColWidth="11.5703125" defaultRowHeight="15"/>
  <cols>
    <col min="1" max="1" width="6.42578125" customWidth="1"/>
    <col min="2" max="2" width="8.140625" customWidth="1"/>
    <col min="3" max="3" width="6.5703125" customWidth="1"/>
    <col min="4" max="4" width="38.85546875" customWidth="1"/>
    <col min="5" max="5" width="5.5703125" customWidth="1"/>
    <col min="6" max="6" width="11" customWidth="1"/>
    <col min="7" max="7" width="13.42578125" customWidth="1"/>
    <col min="8" max="8" width="2" customWidth="1"/>
  </cols>
  <sheetData>
    <row r="3" spans="1:8" ht="14.45" customHeight="1">
      <c r="A3" s="129"/>
      <c r="B3" s="129"/>
      <c r="C3" s="129"/>
      <c r="D3" s="129"/>
      <c r="E3" s="129"/>
      <c r="F3" s="129"/>
    </row>
    <row r="4" spans="1:8" ht="17.45" customHeight="1">
      <c r="A4" s="129"/>
      <c r="B4" s="129"/>
      <c r="C4" s="129"/>
      <c r="D4" s="129"/>
      <c r="E4" s="129"/>
      <c r="F4" s="129"/>
    </row>
    <row r="5" spans="1:8" ht="17.45" customHeight="1"/>
    <row r="6" spans="1:8">
      <c r="A6" s="27"/>
      <c r="B6" s="27"/>
      <c r="C6" s="27"/>
      <c r="D6" s="28"/>
      <c r="E6" s="23"/>
      <c r="F6" s="12"/>
      <c r="G6" s="13"/>
    </row>
    <row r="7" spans="1:8">
      <c r="F7" s="14"/>
      <c r="G7" s="15"/>
    </row>
    <row r="8" spans="1:8">
      <c r="A8" s="136"/>
      <c r="B8" s="136"/>
      <c r="C8" s="136"/>
      <c r="D8" s="136"/>
      <c r="E8" s="6"/>
      <c r="F8" s="14"/>
      <c r="G8" s="15"/>
    </row>
    <row r="9" spans="1:8">
      <c r="A9" s="136"/>
      <c r="B9" s="136"/>
      <c r="C9" s="136"/>
      <c r="D9" s="136"/>
      <c r="E9" s="6"/>
      <c r="F9" s="14"/>
      <c r="G9" s="15"/>
    </row>
    <row r="10" spans="1:8">
      <c r="A10" s="136"/>
      <c r="B10" s="136"/>
      <c r="C10" s="136"/>
      <c r="D10" s="136"/>
      <c r="E10" s="6"/>
      <c r="F10" s="14"/>
      <c r="G10" s="15"/>
    </row>
    <row r="11" spans="1:8">
      <c r="A11" s="136"/>
      <c r="B11" s="136"/>
      <c r="C11" s="136"/>
      <c r="D11" s="136"/>
      <c r="E11" s="6"/>
    </row>
    <row r="12" spans="1:8">
      <c r="A12" s="136"/>
      <c r="B12" s="136"/>
      <c r="C12" s="136"/>
      <c r="D12" s="136"/>
      <c r="E12" s="6"/>
      <c r="F12" s="50"/>
      <c r="G12" s="51"/>
    </row>
    <row r="13" spans="1:8">
      <c r="F13" s="50"/>
      <c r="G13" s="51"/>
      <c r="H13" s="25"/>
    </row>
    <row r="14" spans="1:8">
      <c r="F14" s="50"/>
      <c r="G14" s="52"/>
    </row>
    <row r="15" spans="1:8">
      <c r="F15" s="50"/>
      <c r="G15" s="50"/>
      <c r="H15" s="25"/>
    </row>
    <row r="16" spans="1:8" ht="15.75">
      <c r="A16" s="16"/>
      <c r="B16" s="16"/>
      <c r="F16" s="50"/>
      <c r="G16" s="52"/>
    </row>
    <row r="17" spans="1:7">
      <c r="A17" s="132"/>
      <c r="B17" s="132"/>
      <c r="C17" s="132"/>
    </row>
    <row r="18" spans="1:7">
      <c r="A18" s="138"/>
      <c r="B18" s="138"/>
      <c r="C18" s="138"/>
      <c r="D18" s="138"/>
      <c r="E18" s="138"/>
      <c r="F18" s="138"/>
      <c r="G18" s="138"/>
    </row>
    <row r="19" spans="1:7">
      <c r="A19" s="138"/>
      <c r="B19" s="138"/>
      <c r="C19" s="138"/>
      <c r="D19" s="138"/>
      <c r="E19" s="138"/>
      <c r="F19" s="138"/>
      <c r="G19" s="138"/>
    </row>
    <row r="20" spans="1:7">
      <c r="A20" s="138"/>
      <c r="B20" s="138"/>
      <c r="C20" s="138"/>
      <c r="D20" s="138"/>
      <c r="E20" s="138"/>
      <c r="F20" s="138"/>
      <c r="G20" s="138"/>
    </row>
    <row r="21" spans="1:7">
      <c r="A21" s="136"/>
      <c r="B21" s="136"/>
      <c r="C21" s="136"/>
      <c r="F21" s="7"/>
      <c r="G21" s="7"/>
    </row>
    <row r="22" spans="1:7">
      <c r="A22" s="139"/>
      <c r="B22" s="139"/>
      <c r="C22" s="140"/>
      <c r="D22" s="140"/>
      <c r="E22" s="140"/>
      <c r="F22" s="140"/>
      <c r="G22" s="140"/>
    </row>
    <row r="23" spans="1:7">
      <c r="A23" s="6"/>
      <c r="B23" s="6"/>
      <c r="F23" s="7"/>
      <c r="G23" s="7"/>
    </row>
    <row r="24" spans="1:7" ht="18.75">
      <c r="A24" s="141"/>
      <c r="B24" s="141"/>
      <c r="C24" s="141"/>
      <c r="F24" s="7"/>
      <c r="G24" s="7"/>
    </row>
    <row r="25" spans="1:7" ht="18.75">
      <c r="A25" s="142"/>
      <c r="B25" s="142"/>
      <c r="C25" s="142"/>
      <c r="D25" s="142"/>
      <c r="E25" s="142"/>
      <c r="F25" s="142"/>
      <c r="G25" s="142"/>
    </row>
    <row r="26" spans="1:7">
      <c r="A26" s="136"/>
      <c r="B26" s="136"/>
      <c r="C26" s="6"/>
      <c r="D26" s="143"/>
      <c r="E26" s="143"/>
      <c r="F26" s="144"/>
      <c r="G26" s="144"/>
    </row>
    <row r="27" spans="1:7">
      <c r="A27" s="6"/>
      <c r="B27" s="6"/>
      <c r="F27" s="7"/>
      <c r="G27" s="7"/>
    </row>
    <row r="28" spans="1:7">
      <c r="A28" s="37"/>
      <c r="B28" s="37"/>
      <c r="C28" s="36"/>
      <c r="D28" s="137"/>
      <c r="E28" s="137"/>
      <c r="F28" s="37"/>
      <c r="G28" s="37"/>
    </row>
    <row r="29" spans="1:7">
      <c r="A29" s="9"/>
      <c r="B29" s="38"/>
      <c r="C29" s="25"/>
      <c r="D29" s="25"/>
      <c r="E29" s="25"/>
      <c r="F29" s="39"/>
    </row>
    <row r="30" spans="1:7">
      <c r="A30" s="40"/>
    </row>
    <row r="31" spans="1:7">
      <c r="A31" s="33"/>
      <c r="B31" s="32"/>
      <c r="C31" s="9"/>
      <c r="D31" s="25"/>
      <c r="E31" s="25"/>
      <c r="F31" s="10"/>
      <c r="G31" s="35"/>
    </row>
    <row r="32" spans="1:7">
      <c r="A32" s="33"/>
      <c r="B32" s="32"/>
      <c r="C32" s="9"/>
      <c r="D32" s="25"/>
      <c r="E32" s="25"/>
    </row>
    <row r="33" spans="1:7">
      <c r="A33" s="33"/>
    </row>
    <row r="34" spans="1:7">
      <c r="A34" s="33"/>
      <c r="B34" s="32"/>
      <c r="C34" s="6"/>
      <c r="D34" s="25"/>
      <c r="E34" s="25"/>
      <c r="F34" s="10"/>
      <c r="G34" s="35"/>
    </row>
    <row r="35" spans="1:7">
      <c r="A35" s="33"/>
      <c r="B35" s="32"/>
      <c r="D35" s="41"/>
      <c r="E35" s="6"/>
      <c r="G35" s="42"/>
    </row>
    <row r="36" spans="1:7" ht="3" customHeight="1">
      <c r="A36" s="33"/>
      <c r="B36" s="32"/>
      <c r="C36" s="6"/>
      <c r="D36" s="43"/>
      <c r="E36" s="6"/>
      <c r="F36" s="6"/>
      <c r="G36" s="44"/>
    </row>
    <row r="37" spans="1:7">
      <c r="A37" s="33"/>
      <c r="B37" s="32"/>
      <c r="F37" s="44"/>
      <c r="G37" s="45"/>
    </row>
    <row r="38" spans="1:7">
      <c r="A38" s="33"/>
      <c r="B38" s="32"/>
      <c r="C38" s="30"/>
      <c r="D38" s="30"/>
      <c r="E38" s="30"/>
      <c r="F38" s="46"/>
      <c r="G38" s="42"/>
    </row>
    <row r="39" spans="1:7">
      <c r="A39" s="33"/>
      <c r="B39" s="32"/>
      <c r="C39" s="47"/>
      <c r="F39" s="44"/>
      <c r="G39" s="48"/>
    </row>
    <row r="40" spans="1:7">
      <c r="A40" s="33"/>
      <c r="B40" s="32"/>
      <c r="C40" s="49"/>
    </row>
    <row r="41" spans="1:7">
      <c r="A41" s="33"/>
      <c r="B41" s="32"/>
      <c r="C41" s="9"/>
      <c r="D41" s="9"/>
      <c r="E41" s="9"/>
      <c r="F41" s="10"/>
      <c r="G41" s="34">
        <f t="shared" ref="G41" si="0">B41*F41</f>
        <v>0</v>
      </c>
    </row>
    <row r="42" spans="1:7">
      <c r="B42" s="24"/>
    </row>
    <row r="43" spans="1:7" ht="15" customHeight="1">
      <c r="B43" s="24"/>
    </row>
    <row r="44" spans="1:7" ht="15" customHeight="1">
      <c r="B44" s="24"/>
    </row>
    <row r="45" spans="1:7" ht="15" customHeight="1">
      <c r="B45" s="24"/>
    </row>
    <row r="46" spans="1:7">
      <c r="B46" s="24"/>
    </row>
    <row r="47" spans="1:7">
      <c r="B47" s="24"/>
    </row>
    <row r="48" spans="1:7" ht="15" customHeight="1">
      <c r="B48" s="24"/>
    </row>
    <row r="49" spans="1:10" ht="33.75" customHeight="1">
      <c r="B49" s="24"/>
    </row>
    <row r="50" spans="1:10" ht="5.0999999999999996" customHeight="1">
      <c r="B50" s="11"/>
    </row>
    <row r="51" spans="1:10" ht="5.0999999999999996" customHeight="1">
      <c r="A51" s="55"/>
      <c r="B51" s="56"/>
      <c r="C51" s="55"/>
      <c r="D51" s="55"/>
      <c r="E51" s="55"/>
      <c r="F51" s="55"/>
      <c r="G51" s="55"/>
    </row>
    <row r="52" spans="1:10" ht="10.35" customHeight="1">
      <c r="A52" s="145" t="s">
        <v>258</v>
      </c>
      <c r="B52" s="145"/>
      <c r="C52" s="145"/>
      <c r="D52" s="145"/>
      <c r="E52" s="145"/>
      <c r="F52" s="145"/>
      <c r="G52" s="145"/>
    </row>
    <row r="53" spans="1:10" ht="10.35" customHeight="1">
      <c r="A53" s="146" t="s">
        <v>195</v>
      </c>
      <c r="B53" s="146"/>
      <c r="C53" s="146"/>
      <c r="D53" s="146"/>
      <c r="E53" s="146"/>
      <c r="F53" s="146"/>
      <c r="G53" s="146"/>
    </row>
    <row r="54" spans="1:10" ht="10.35" customHeight="1">
      <c r="A54" s="53"/>
      <c r="B54" s="54"/>
      <c r="C54" s="53"/>
      <c r="D54" s="53"/>
      <c r="E54" s="53"/>
      <c r="F54" s="147"/>
      <c r="G54" s="147"/>
    </row>
    <row r="55" spans="1:10" ht="10.35" customHeight="1">
      <c r="A55" s="53"/>
      <c r="B55" s="54"/>
      <c r="C55" s="53"/>
      <c r="D55" s="53"/>
      <c r="E55" s="53"/>
      <c r="F55" s="147"/>
      <c r="G55" s="147"/>
      <c r="J55" s="2"/>
    </row>
    <row r="56" spans="1:10" ht="10.35" customHeight="1">
      <c r="A56" s="53"/>
      <c r="B56" s="54"/>
      <c r="C56" s="53"/>
      <c r="D56" s="53"/>
      <c r="E56" s="53"/>
      <c r="F56" s="147"/>
      <c r="G56" s="147"/>
    </row>
    <row r="57" spans="1:10">
      <c r="B57" s="11"/>
    </row>
    <row r="58" spans="1:10">
      <c r="B58" s="11"/>
    </row>
    <row r="59" spans="1:10">
      <c r="B59" s="11"/>
    </row>
    <row r="60" spans="1:10">
      <c r="B60" s="11"/>
    </row>
    <row r="61" spans="1:10">
      <c r="B61" s="11"/>
    </row>
    <row r="62" spans="1:10">
      <c r="A62" s="17"/>
      <c r="B62" s="17"/>
      <c r="C62" s="17"/>
      <c r="D62" s="17"/>
      <c r="E62" s="17"/>
      <c r="F62" s="18"/>
      <c r="G62" s="17"/>
    </row>
    <row r="63" spans="1:10">
      <c r="A63" s="17"/>
      <c r="B63" s="17"/>
      <c r="C63" s="17"/>
      <c r="D63" s="17"/>
      <c r="E63" s="17"/>
      <c r="F63" s="19"/>
      <c r="G63" s="17"/>
    </row>
    <row r="64" spans="1:10">
      <c r="A64" s="17"/>
      <c r="B64" s="17"/>
      <c r="C64" s="17"/>
      <c r="D64" s="17"/>
      <c r="E64" s="17"/>
      <c r="F64" s="19"/>
      <c r="G64" s="17"/>
    </row>
    <row r="65" spans="1:7">
      <c r="A65" s="123"/>
      <c r="B65" s="123"/>
      <c r="C65" s="123"/>
      <c r="D65" s="123"/>
      <c r="E65" s="19"/>
      <c r="F65" s="19"/>
      <c r="G65" s="17"/>
    </row>
    <row r="66" spans="1:7">
      <c r="A66" s="17"/>
      <c r="B66" s="17"/>
      <c r="C66" s="17"/>
      <c r="D66" s="17"/>
      <c r="E66" s="17"/>
      <c r="F66" s="19"/>
      <c r="G66" s="20"/>
    </row>
    <row r="67" spans="1:7">
      <c r="A67" s="21"/>
      <c r="B67" s="17"/>
      <c r="C67" s="17"/>
      <c r="D67" s="17"/>
      <c r="E67" s="17"/>
      <c r="F67" s="19"/>
      <c r="G67" s="20"/>
    </row>
    <row r="68" spans="1:7">
      <c r="A68" s="22"/>
      <c r="B68" s="22"/>
      <c r="C68" s="22"/>
      <c r="D68" s="22"/>
      <c r="E68" s="22"/>
    </row>
  </sheetData>
  <protectedRanges>
    <protectedRange password="C701" sqref="G12" name="Bereich1_1"/>
  </protectedRanges>
  <mergeCells count="25">
    <mergeCell ref="A65:D65"/>
    <mergeCell ref="A52:G52"/>
    <mergeCell ref="A53:G53"/>
    <mergeCell ref="F54:G54"/>
    <mergeCell ref="F55:G55"/>
    <mergeCell ref="F56:G56"/>
    <mergeCell ref="D28:E28"/>
    <mergeCell ref="A17:C17"/>
    <mergeCell ref="A18:G18"/>
    <mergeCell ref="A19:G19"/>
    <mergeCell ref="A20:G20"/>
    <mergeCell ref="A21:C21"/>
    <mergeCell ref="A22:B22"/>
    <mergeCell ref="C22:G22"/>
    <mergeCell ref="A24:C24"/>
    <mergeCell ref="A25:G25"/>
    <mergeCell ref="A26:B26"/>
    <mergeCell ref="D26:E26"/>
    <mergeCell ref="F26:G26"/>
    <mergeCell ref="A12:D12"/>
    <mergeCell ref="A3:F4"/>
    <mergeCell ref="A8:D8"/>
    <mergeCell ref="A9:D9"/>
    <mergeCell ref="A10:D10"/>
    <mergeCell ref="A11:D11"/>
  </mergeCells>
  <pageMargins left="0.78740157480314965" right="0.39370078740157483" top="0.74803149606299213" bottom="0" header="0.31496062992125984" footer="0"/>
  <pageSetup paperSize="9" orientation="portrait" r:id="rId1"/>
  <headerFooter>
    <oddHeader xml:space="preserve">&amp;R&amp;G
</oddHeader>
    <oddFooter xml:space="preserve">&amp;L&amp;8
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J68"/>
  <sheetViews>
    <sheetView zoomScaleNormal="100" workbookViewId="0">
      <selection activeCell="A7" sqref="A7"/>
    </sheetView>
  </sheetViews>
  <sheetFormatPr baseColWidth="10" defaultColWidth="11.5703125" defaultRowHeight="15"/>
  <cols>
    <col min="1" max="1" width="6.42578125" customWidth="1"/>
    <col min="2" max="2" width="8.140625" customWidth="1"/>
    <col min="3" max="3" width="6.5703125" customWidth="1"/>
    <col min="4" max="4" width="38.85546875" customWidth="1"/>
    <col min="5" max="5" width="4.85546875" customWidth="1"/>
    <col min="6" max="6" width="12" customWidth="1"/>
    <col min="7" max="7" width="12.42578125" customWidth="1"/>
    <col min="8" max="8" width="2" customWidth="1"/>
  </cols>
  <sheetData>
    <row r="3" spans="1:8" ht="14.45" customHeight="1">
      <c r="A3" s="129"/>
      <c r="B3" s="129"/>
      <c r="C3" s="129"/>
      <c r="D3" s="129"/>
      <c r="E3" s="129"/>
      <c r="F3" s="129"/>
    </row>
    <row r="4" spans="1:8" ht="17.45" customHeight="1">
      <c r="A4" s="129"/>
      <c r="B4" s="129"/>
      <c r="C4" s="129"/>
      <c r="D4" s="129"/>
      <c r="E4" s="129"/>
      <c r="F4" s="129"/>
    </row>
    <row r="5" spans="1:8" ht="17.45" customHeight="1"/>
    <row r="6" spans="1:8" ht="15.75">
      <c r="A6" s="75" t="s">
        <v>358</v>
      </c>
      <c r="B6" s="27"/>
      <c r="C6" s="27"/>
      <c r="D6" s="28"/>
      <c r="E6" s="23"/>
      <c r="F6" s="12"/>
      <c r="G6" s="13"/>
    </row>
    <row r="7" spans="1:8">
      <c r="F7" s="14"/>
      <c r="G7" s="15"/>
    </row>
    <row r="8" spans="1:8" ht="14.1" customHeight="1">
      <c r="E8" s="69"/>
      <c r="F8" s="79"/>
      <c r="G8" s="60"/>
    </row>
    <row r="9" spans="1:8" ht="14.1" customHeight="1">
      <c r="A9" s="128" t="s">
        <v>119</v>
      </c>
      <c r="B9" s="128"/>
      <c r="C9" s="128"/>
      <c r="D9" s="128"/>
      <c r="E9" s="69"/>
      <c r="F9" s="79"/>
      <c r="G9" s="60"/>
      <c r="H9" s="25"/>
    </row>
    <row r="10" spans="1:8" ht="14.1" customHeight="1">
      <c r="E10" s="69"/>
      <c r="F10" s="79"/>
      <c r="G10" s="61"/>
    </row>
    <row r="11" spans="1:8" ht="14.1" customHeight="1">
      <c r="A11" s="128" t="s">
        <v>119</v>
      </c>
      <c r="B11" s="128"/>
      <c r="C11" s="128"/>
      <c r="D11" s="128"/>
      <c r="E11" s="69"/>
      <c r="F11" s="79"/>
      <c r="G11" s="59"/>
      <c r="H11" s="25"/>
    </row>
    <row r="12" spans="1:8" ht="14.1" customHeight="1">
      <c r="A12" s="93" t="s">
        <v>119</v>
      </c>
      <c r="B12" s="93"/>
      <c r="C12" s="93"/>
      <c r="D12" s="93"/>
      <c r="E12" s="69"/>
      <c r="F12" s="79"/>
      <c r="G12" s="61"/>
    </row>
    <row r="16" spans="1:8" ht="15.75">
      <c r="A16" s="16"/>
      <c r="B16" s="16"/>
    </row>
    <row r="17" spans="1:7" ht="18.75">
      <c r="A17" s="148"/>
      <c r="B17" s="148"/>
      <c r="C17" s="148"/>
      <c r="D17" s="94"/>
    </row>
    <row r="18" spans="1:7" ht="5.0999999999999996" customHeight="1">
      <c r="A18" s="95"/>
      <c r="B18" s="95"/>
      <c r="C18" s="95"/>
      <c r="D18" s="94"/>
    </row>
    <row r="19" spans="1:7" ht="12.95" customHeight="1">
      <c r="A19" s="58"/>
      <c r="B19" s="69"/>
      <c r="C19" s="58"/>
      <c r="D19" s="58"/>
      <c r="E19" s="58"/>
    </row>
    <row r="20" spans="1:7" ht="12.95" customHeight="1">
      <c r="A20" s="58"/>
      <c r="B20" s="58"/>
      <c r="D20" s="58"/>
      <c r="E20" s="58"/>
      <c r="F20" s="125"/>
      <c r="G20" s="125"/>
    </row>
    <row r="21" spans="1:7" ht="12.95" customHeight="1">
      <c r="A21" s="58"/>
      <c r="B21" s="58"/>
      <c r="D21" s="58"/>
      <c r="E21" s="58"/>
      <c r="F21" s="124"/>
      <c r="G21" s="125"/>
    </row>
    <row r="22" spans="1:7" ht="9.9499999999999993" customHeight="1">
      <c r="A22" s="6"/>
      <c r="B22" s="6"/>
      <c r="F22" s="7"/>
      <c r="G22" s="7"/>
    </row>
    <row r="23" spans="1:7" ht="18" customHeight="1">
      <c r="A23" s="96"/>
      <c r="B23" s="96"/>
      <c r="C23" s="97"/>
      <c r="D23" s="135"/>
      <c r="E23" s="135"/>
      <c r="F23" s="96"/>
      <c r="G23" s="98"/>
    </row>
    <row r="24" spans="1:7" ht="15.75">
      <c r="A24" s="65"/>
      <c r="B24" s="63"/>
      <c r="C24" s="62"/>
      <c r="D24" s="62"/>
      <c r="E24" s="64"/>
      <c r="F24" s="84"/>
      <c r="G24" s="86"/>
    </row>
    <row r="25" spans="1:7" ht="15.75">
      <c r="A25" s="99"/>
      <c r="B25" s="65"/>
      <c r="C25" s="62"/>
      <c r="D25" s="62"/>
      <c r="E25" s="64"/>
      <c r="F25" s="84"/>
      <c r="G25" s="86"/>
    </row>
    <row r="26" spans="1:7" ht="15.75">
      <c r="A26" s="65"/>
      <c r="B26" s="63"/>
      <c r="C26" s="62"/>
      <c r="D26" s="62"/>
      <c r="E26" s="64"/>
      <c r="F26" s="84"/>
      <c r="G26" s="86"/>
    </row>
    <row r="27" spans="1:7" ht="15.75">
      <c r="A27" s="65"/>
      <c r="B27" s="63"/>
      <c r="C27" s="62"/>
      <c r="D27" s="62"/>
      <c r="E27" s="62"/>
      <c r="F27" s="84"/>
      <c r="G27" s="86"/>
    </row>
    <row r="28" spans="1:7" ht="15.75">
      <c r="A28" s="65"/>
      <c r="B28" s="63"/>
      <c r="C28" s="62"/>
      <c r="D28" s="62"/>
      <c r="E28" s="62"/>
      <c r="F28" s="84"/>
      <c r="G28" s="86"/>
    </row>
    <row r="29" spans="1:7" ht="15.75">
      <c r="A29" s="65"/>
      <c r="B29" s="63"/>
      <c r="C29" s="62"/>
      <c r="D29" s="62"/>
      <c r="E29" s="62"/>
      <c r="F29" s="84"/>
      <c r="G29" s="86"/>
    </row>
    <row r="30" spans="1:7" ht="15.75">
      <c r="A30" s="65"/>
      <c r="B30" s="63"/>
      <c r="C30" s="62"/>
      <c r="D30" s="62"/>
      <c r="E30" s="62"/>
      <c r="F30" s="84"/>
      <c r="G30" s="86"/>
    </row>
    <row r="31" spans="1:7" ht="15.75">
      <c r="A31" s="65"/>
      <c r="B31" s="63"/>
      <c r="C31" s="62"/>
      <c r="D31" s="62"/>
      <c r="E31" s="62"/>
      <c r="F31" s="84"/>
      <c r="G31" s="86"/>
    </row>
    <row r="32" spans="1:7" ht="15.75">
      <c r="A32" s="65"/>
      <c r="B32" s="63"/>
      <c r="C32" s="62"/>
      <c r="D32" s="62"/>
      <c r="E32" s="62"/>
      <c r="F32" s="84"/>
      <c r="G32" s="86"/>
    </row>
    <row r="33" spans="1:7" ht="15.75">
      <c r="A33" s="65"/>
      <c r="B33" s="63"/>
      <c r="C33" s="62"/>
      <c r="D33" s="62"/>
      <c r="E33" s="67"/>
      <c r="F33" s="84"/>
      <c r="G33" s="86"/>
    </row>
    <row r="34" spans="1:7" ht="15.75">
      <c r="A34" s="65"/>
      <c r="B34" s="63"/>
      <c r="C34" s="62"/>
      <c r="D34" s="62"/>
      <c r="E34" s="67"/>
      <c r="F34" s="84"/>
      <c r="G34" s="86"/>
    </row>
    <row r="35" spans="1:7" ht="15.75">
      <c r="A35" s="85"/>
      <c r="B35" s="63"/>
      <c r="C35" s="62"/>
      <c r="D35" s="62"/>
      <c r="E35" s="67"/>
      <c r="F35" s="84"/>
      <c r="G35" s="86"/>
    </row>
    <row r="36" spans="1:7" ht="15.75">
      <c r="A36" s="85"/>
      <c r="B36" s="63"/>
      <c r="C36" s="62"/>
      <c r="D36" s="62"/>
      <c r="E36" s="67"/>
      <c r="F36" s="84"/>
      <c r="G36" s="86"/>
    </row>
    <row r="37" spans="1:7" ht="3" customHeight="1">
      <c r="A37" s="33"/>
      <c r="B37" s="32"/>
      <c r="C37" s="6"/>
      <c r="D37" s="43"/>
      <c r="E37" s="6"/>
      <c r="F37" s="6"/>
    </row>
    <row r="38" spans="1:7" ht="15.75">
      <c r="A38" s="33"/>
      <c r="B38" s="32"/>
      <c r="D38" s="67"/>
      <c r="E38" s="67"/>
      <c r="F38" s="68"/>
      <c r="G38" s="89"/>
    </row>
    <row r="39" spans="1:7" ht="15.75">
      <c r="A39" s="33"/>
      <c r="B39" s="32"/>
      <c r="D39" s="100"/>
      <c r="E39" s="100"/>
      <c r="F39" s="101"/>
      <c r="G39" s="102"/>
    </row>
    <row r="40" spans="1:7" ht="15.75">
      <c r="A40" s="33"/>
      <c r="B40" s="32"/>
      <c r="D40" s="67"/>
      <c r="E40" s="67"/>
      <c r="F40" s="68"/>
      <c r="G40" s="89"/>
    </row>
    <row r="41" spans="1:7" ht="2.1" customHeight="1">
      <c r="A41" s="33"/>
      <c r="B41" s="32"/>
      <c r="D41" s="103"/>
      <c r="E41" s="103"/>
      <c r="F41" s="104"/>
      <c r="G41" s="105"/>
    </row>
    <row r="42" spans="1:7" ht="18" customHeight="1">
      <c r="A42" s="33"/>
      <c r="B42" s="32"/>
      <c r="D42" s="58"/>
    </row>
    <row r="43" spans="1:7" ht="12" customHeight="1">
      <c r="A43" s="33"/>
      <c r="B43" s="32"/>
      <c r="C43" s="9"/>
      <c r="D43" s="66"/>
      <c r="E43" s="9"/>
      <c r="F43" s="10"/>
      <c r="G43" s="92"/>
    </row>
    <row r="44" spans="1:7" ht="12" customHeight="1">
      <c r="B44" s="24"/>
      <c r="D44" s="58"/>
    </row>
    <row r="45" spans="1:7" ht="5.0999999999999996" customHeight="1">
      <c r="B45" s="24"/>
      <c r="D45" s="58"/>
    </row>
    <row r="46" spans="1:7" ht="15.75">
      <c r="B46" s="24"/>
      <c r="D46" s="58"/>
    </row>
    <row r="47" spans="1:7">
      <c r="B47" s="24"/>
    </row>
    <row r="48" spans="1:7" ht="15" customHeight="1">
      <c r="B48" s="24"/>
    </row>
    <row r="49" spans="1:10">
      <c r="B49" s="24"/>
    </row>
    <row r="50" spans="1:10">
      <c r="B50" s="11"/>
    </row>
    <row r="51" spans="1:10" ht="10.35" customHeight="1">
      <c r="A51" s="130"/>
      <c r="B51" s="130"/>
      <c r="C51" s="130"/>
      <c r="D51" s="26"/>
      <c r="E51" s="131"/>
      <c r="F51" s="131"/>
      <c r="G51" s="131"/>
    </row>
    <row r="52" spans="1:10" ht="10.35" customHeight="1">
      <c r="A52" s="26"/>
      <c r="B52" s="8"/>
      <c r="C52" s="26"/>
      <c r="D52" s="26"/>
      <c r="E52" s="26"/>
      <c r="F52" s="131"/>
      <c r="G52" s="131"/>
    </row>
    <row r="53" spans="1:10" ht="10.35" customHeight="1">
      <c r="A53" s="26"/>
      <c r="B53" s="8"/>
      <c r="C53" s="26"/>
      <c r="D53" s="26"/>
      <c r="E53" s="26"/>
      <c r="F53" s="131"/>
      <c r="G53" s="131"/>
    </row>
    <row r="54" spans="1:10" ht="10.35" customHeight="1">
      <c r="A54" s="26"/>
      <c r="B54" s="8"/>
      <c r="C54" s="26"/>
      <c r="D54" s="26"/>
      <c r="E54" s="26"/>
      <c r="F54" s="131"/>
      <c r="G54" s="131"/>
    </row>
    <row r="55" spans="1:10" ht="10.35" customHeight="1">
      <c r="A55" s="26"/>
      <c r="B55" s="11"/>
      <c r="F55" s="131"/>
      <c r="G55" s="131"/>
      <c r="J55" s="2"/>
    </row>
    <row r="56" spans="1:10" ht="10.35" customHeight="1">
      <c r="A56" s="26"/>
      <c r="B56" s="11"/>
      <c r="F56" s="131"/>
      <c r="G56" s="131"/>
    </row>
    <row r="57" spans="1:10">
      <c r="B57" s="11"/>
    </row>
    <row r="58" spans="1:10">
      <c r="B58" s="11"/>
    </row>
    <row r="59" spans="1:10">
      <c r="B59" s="11"/>
    </row>
    <row r="60" spans="1:10">
      <c r="B60" s="11"/>
    </row>
    <row r="61" spans="1:10">
      <c r="B61" s="11"/>
    </row>
    <row r="62" spans="1:10">
      <c r="A62" s="17"/>
      <c r="B62" s="17"/>
      <c r="C62" s="17"/>
      <c r="D62" s="17"/>
      <c r="E62" s="17"/>
      <c r="F62" s="19"/>
      <c r="G62" s="17"/>
    </row>
    <row r="63" spans="1:10">
      <c r="A63" s="17"/>
      <c r="B63" s="17"/>
      <c r="C63" s="17"/>
      <c r="D63" s="17"/>
      <c r="E63" s="17"/>
      <c r="F63" s="19"/>
      <c r="G63" s="17"/>
    </row>
    <row r="64" spans="1:10">
      <c r="A64" s="17"/>
      <c r="B64" s="17"/>
      <c r="C64" s="17"/>
      <c r="D64" s="17"/>
      <c r="E64" s="17"/>
      <c r="F64" s="19"/>
      <c r="G64" s="17"/>
    </row>
    <row r="65" spans="1:7">
      <c r="A65" s="123"/>
      <c r="B65" s="123"/>
      <c r="C65" s="123"/>
      <c r="D65" s="123"/>
      <c r="E65" s="19"/>
      <c r="F65" s="19"/>
      <c r="G65" s="17"/>
    </row>
    <row r="66" spans="1:7">
      <c r="A66" s="17"/>
      <c r="B66" s="17"/>
      <c r="C66" s="17"/>
      <c r="D66" s="17"/>
      <c r="E66" s="17"/>
      <c r="F66" s="19"/>
      <c r="G66" s="20"/>
    </row>
    <row r="67" spans="1:7">
      <c r="A67" s="106"/>
      <c r="B67" s="17"/>
      <c r="C67" s="17"/>
      <c r="D67" s="17"/>
      <c r="E67" s="17"/>
      <c r="F67" s="19"/>
      <c r="G67" s="20"/>
    </row>
    <row r="68" spans="1:7">
      <c r="A68" s="22"/>
      <c r="B68" s="22"/>
      <c r="C68" s="22"/>
      <c r="D68" s="22"/>
      <c r="E68" s="22"/>
    </row>
  </sheetData>
  <protectedRanges>
    <protectedRange password="C701" sqref="G8" name="Bereich1_1"/>
  </protectedRanges>
  <mergeCells count="15">
    <mergeCell ref="A3:F4"/>
    <mergeCell ref="A9:D9"/>
    <mergeCell ref="A11:D11"/>
    <mergeCell ref="A65:D65"/>
    <mergeCell ref="A17:C17"/>
    <mergeCell ref="F20:G20"/>
    <mergeCell ref="F21:G21"/>
    <mergeCell ref="D23:E23"/>
    <mergeCell ref="A51:C51"/>
    <mergeCell ref="E51:G51"/>
    <mergeCell ref="F52:G52"/>
    <mergeCell ref="F53:G53"/>
    <mergeCell ref="F54:G54"/>
    <mergeCell ref="F55:G55"/>
    <mergeCell ref="F56:G56"/>
  </mergeCells>
  <pageMargins left="0.78740157480314965" right="0.39370078740157483" top="0.74803149606299213" bottom="0.19685039370078741" header="0.31496062992125984" footer="0"/>
  <pageSetup paperSize="9" orientation="portrait" r:id="rId1"/>
  <headerFooter>
    <oddFooter xml:space="preserve">&amp;L&amp;8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J63"/>
  <sheetViews>
    <sheetView zoomScaleNormal="100" workbookViewId="0">
      <selection activeCell="A9" sqref="A9:D9"/>
    </sheetView>
  </sheetViews>
  <sheetFormatPr baseColWidth="10" defaultColWidth="11.5703125" defaultRowHeight="15"/>
  <cols>
    <col min="1" max="1" width="6.42578125" customWidth="1"/>
    <col min="2" max="2" width="8.140625" customWidth="1"/>
    <col min="3" max="3" width="6.5703125" customWidth="1"/>
    <col min="4" max="4" width="38.85546875" customWidth="1"/>
    <col min="5" max="5" width="4.85546875" customWidth="1"/>
    <col min="6" max="6" width="12" customWidth="1"/>
    <col min="7" max="7" width="12.42578125" customWidth="1"/>
    <col min="8" max="8" width="2" customWidth="1"/>
  </cols>
  <sheetData>
    <row r="3" spans="1:8" ht="14.45" customHeight="1">
      <c r="A3" s="129"/>
      <c r="B3" s="129"/>
      <c r="C3" s="129"/>
      <c r="D3" s="129"/>
      <c r="E3" s="129"/>
      <c r="F3" s="129"/>
    </row>
    <row r="4" spans="1:8" ht="17.45" customHeight="1">
      <c r="A4" s="129"/>
      <c r="B4" s="129"/>
      <c r="C4" s="129"/>
      <c r="D4" s="129"/>
      <c r="E4" s="129"/>
      <c r="F4" s="129"/>
    </row>
    <row r="5" spans="1:8" ht="17.45" customHeight="1"/>
    <row r="6" spans="1:8" ht="15.75">
      <c r="A6" s="75" t="s">
        <v>358</v>
      </c>
      <c r="B6" s="27"/>
      <c r="C6" s="27"/>
      <c r="D6" s="28"/>
      <c r="E6" s="23"/>
      <c r="F6" s="12"/>
      <c r="G6" s="13"/>
    </row>
    <row r="7" spans="1:8">
      <c r="F7" s="14"/>
      <c r="G7" s="15"/>
    </row>
    <row r="8" spans="1:8" ht="14.1" customHeight="1">
      <c r="A8" s="128" t="s">
        <v>197</v>
      </c>
      <c r="B8" s="128"/>
      <c r="C8" s="128"/>
      <c r="D8" s="128"/>
      <c r="E8" s="69"/>
      <c r="F8" s="79"/>
      <c r="G8" s="60"/>
    </row>
    <row r="9" spans="1:8" ht="14.1" customHeight="1">
      <c r="A9" s="128" t="s">
        <v>119</v>
      </c>
      <c r="B9" s="128"/>
      <c r="C9" s="128"/>
      <c r="D9" s="128"/>
      <c r="E9" s="69"/>
      <c r="F9" s="79"/>
      <c r="G9" s="60"/>
      <c r="H9" s="25"/>
    </row>
    <row r="10" spans="1:8" ht="14.1" customHeight="1">
      <c r="A10" s="128" t="s">
        <v>119</v>
      </c>
      <c r="B10" s="128"/>
      <c r="C10" s="128"/>
      <c r="D10" s="128"/>
      <c r="E10" s="69"/>
      <c r="F10" s="79" t="s">
        <v>110</v>
      </c>
      <c r="G10" s="61">
        <f ca="1">TODAY()</f>
        <v>46169</v>
      </c>
    </row>
    <row r="11" spans="1:8" ht="14.1" customHeight="1">
      <c r="A11" s="128" t="s">
        <v>119</v>
      </c>
      <c r="B11" s="128"/>
      <c r="C11" s="128"/>
      <c r="D11" s="128"/>
      <c r="E11" s="69"/>
      <c r="F11" s="79"/>
      <c r="G11" s="59"/>
      <c r="H11" s="25"/>
    </row>
    <row r="12" spans="1:8" ht="14.1" customHeight="1">
      <c r="A12" s="128" t="s">
        <v>119</v>
      </c>
      <c r="B12" s="128"/>
      <c r="C12" s="128"/>
      <c r="D12" s="128"/>
      <c r="E12" s="69"/>
      <c r="F12" s="79"/>
      <c r="G12" s="61"/>
    </row>
    <row r="16" spans="1:8" ht="15.75" customHeight="1">
      <c r="A16" s="16"/>
      <c r="B16" s="16"/>
    </row>
    <row r="17" spans="1:7" ht="15.75" customHeight="1">
      <c r="A17" s="127" t="s">
        <v>196</v>
      </c>
      <c r="B17" s="127"/>
      <c r="C17" s="127"/>
      <c r="D17" s="57"/>
    </row>
    <row r="18" spans="1:7" ht="15.75" customHeight="1">
      <c r="A18" s="83"/>
      <c r="B18" s="83"/>
      <c r="C18" s="83"/>
      <c r="D18" s="57"/>
    </row>
    <row r="19" spans="1:7" ht="15.75" customHeight="1">
      <c r="A19" s="58"/>
      <c r="B19" s="69"/>
      <c r="C19" s="58"/>
      <c r="D19" s="58"/>
      <c r="E19" s="58"/>
    </row>
    <row r="20" spans="1:7" ht="15.75" customHeight="1">
      <c r="A20" s="58"/>
      <c r="B20" s="58"/>
      <c r="D20" s="58"/>
      <c r="E20" s="58"/>
      <c r="F20" s="125"/>
      <c r="G20" s="125"/>
    </row>
    <row r="21" spans="1:7" ht="15.75" customHeight="1">
      <c r="A21" s="58"/>
      <c r="B21" s="58"/>
      <c r="D21" s="58"/>
      <c r="E21" s="58"/>
      <c r="F21" s="124"/>
      <c r="G21" s="125"/>
    </row>
    <row r="22" spans="1:7" ht="15.75" customHeight="1">
      <c r="A22" s="6"/>
      <c r="B22" s="6"/>
      <c r="F22" s="7"/>
      <c r="G22" s="7"/>
    </row>
    <row r="23" spans="1:7" ht="15.75" customHeight="1">
      <c r="A23" s="96"/>
      <c r="B23" s="96"/>
      <c r="C23" s="97"/>
      <c r="D23" s="135"/>
      <c r="E23" s="135"/>
      <c r="F23" s="96"/>
      <c r="G23" s="98"/>
    </row>
    <row r="24" spans="1:7" ht="15.75" customHeight="1">
      <c r="A24" s="65"/>
      <c r="B24" s="63"/>
      <c r="C24" s="62"/>
      <c r="D24" s="62"/>
      <c r="E24" s="64"/>
      <c r="F24" s="84"/>
      <c r="G24" s="86"/>
    </row>
    <row r="25" spans="1:7" ht="15.75" customHeight="1">
      <c r="A25" s="99"/>
      <c r="B25" s="65"/>
      <c r="C25" s="62"/>
      <c r="D25" s="62"/>
      <c r="E25" s="64"/>
      <c r="F25" s="84"/>
      <c r="G25" s="86"/>
    </row>
    <row r="26" spans="1:7" ht="15.75" customHeight="1">
      <c r="A26" s="65"/>
      <c r="B26" s="63"/>
      <c r="C26" s="62"/>
      <c r="D26" s="62"/>
      <c r="E26" s="64"/>
      <c r="F26" s="84"/>
      <c r="G26" s="86"/>
    </row>
    <row r="27" spans="1:7" ht="15.75" customHeight="1">
      <c r="A27" s="65"/>
      <c r="B27" s="63"/>
      <c r="C27" s="62"/>
      <c r="D27" s="62"/>
      <c r="E27" s="64"/>
      <c r="F27" s="84"/>
      <c r="G27" s="86"/>
    </row>
    <row r="28" spans="1:7" ht="15.75" customHeight="1">
      <c r="A28" s="65"/>
      <c r="B28" s="63"/>
      <c r="C28" s="62"/>
      <c r="D28" s="62"/>
      <c r="E28" s="62"/>
      <c r="F28" s="84"/>
      <c r="G28" s="86"/>
    </row>
    <row r="29" spans="1:7" ht="15.75" customHeight="1">
      <c r="A29" s="65"/>
      <c r="B29" s="63"/>
      <c r="C29" s="62"/>
      <c r="D29" s="62"/>
      <c r="E29" s="62"/>
      <c r="F29" s="84"/>
      <c r="G29" s="86"/>
    </row>
    <row r="30" spans="1:7" ht="15.75" customHeight="1">
      <c r="A30" s="65"/>
      <c r="B30" s="63"/>
      <c r="C30" s="62"/>
      <c r="D30" s="62"/>
      <c r="E30" s="62"/>
      <c r="F30" s="84"/>
      <c r="G30" s="86"/>
    </row>
    <row r="31" spans="1:7" ht="15.75" customHeight="1">
      <c r="A31" s="85"/>
      <c r="B31" s="63"/>
      <c r="C31" s="62"/>
      <c r="D31" s="62"/>
      <c r="E31" s="67"/>
      <c r="F31" s="84"/>
      <c r="G31" s="86"/>
    </row>
    <row r="32" spans="1:7" ht="15.75" customHeight="1">
      <c r="A32" s="33"/>
      <c r="B32" s="32"/>
      <c r="C32" s="6"/>
      <c r="D32" s="43"/>
      <c r="E32" s="6"/>
      <c r="F32" s="6"/>
    </row>
    <row r="33" spans="1:7" ht="15.75" customHeight="1">
      <c r="A33" s="33"/>
      <c r="B33" s="32"/>
      <c r="D33" s="67"/>
      <c r="E33" s="67"/>
      <c r="F33" s="68"/>
      <c r="G33" s="89"/>
    </row>
    <row r="34" spans="1:7" ht="15.75" customHeight="1">
      <c r="A34" s="33"/>
      <c r="B34" s="32"/>
      <c r="D34" s="100"/>
      <c r="E34" s="100"/>
      <c r="F34" s="101"/>
      <c r="G34" s="102"/>
    </row>
    <row r="35" spans="1:7" ht="15.75" customHeight="1">
      <c r="A35" s="33"/>
      <c r="B35" s="32"/>
      <c r="D35" s="78"/>
      <c r="E35" s="67"/>
      <c r="F35" s="68"/>
      <c r="G35" s="88"/>
    </row>
    <row r="36" spans="1:7" ht="15.75" customHeight="1">
      <c r="A36" s="33"/>
      <c r="B36" s="32"/>
      <c r="D36" s="107"/>
      <c r="E36" s="103"/>
      <c r="F36" s="104"/>
      <c r="G36" s="108"/>
    </row>
    <row r="37" spans="1:7" ht="15.75" customHeight="1">
      <c r="A37" s="33"/>
      <c r="B37" s="32"/>
      <c r="D37" s="58"/>
    </row>
    <row r="38" spans="1:7" ht="15.75" customHeight="1">
      <c r="A38" s="33"/>
      <c r="B38" s="32"/>
      <c r="C38" s="9"/>
      <c r="D38" s="66"/>
      <c r="E38" s="9"/>
      <c r="F38" s="10"/>
      <c r="G38" s="92"/>
    </row>
    <row r="39" spans="1:7" ht="15.75" customHeight="1">
      <c r="B39" s="24"/>
      <c r="D39" s="58"/>
    </row>
    <row r="40" spans="1:7" ht="15.75" customHeight="1">
      <c r="B40" s="24"/>
      <c r="D40" s="58"/>
    </row>
    <row r="41" spans="1:7" ht="15.75" customHeight="1">
      <c r="B41" s="24"/>
      <c r="D41" s="58"/>
    </row>
    <row r="42" spans="1:7" ht="15.75" customHeight="1">
      <c r="B42" s="24"/>
    </row>
    <row r="43" spans="1:7" ht="15.75" customHeight="1">
      <c r="B43" s="24"/>
    </row>
    <row r="44" spans="1:7" ht="15.75" customHeight="1">
      <c r="B44" s="24"/>
    </row>
    <row r="45" spans="1:7" ht="15.75" customHeight="1">
      <c r="B45" s="11"/>
    </row>
    <row r="46" spans="1:7" ht="15.75" customHeight="1">
      <c r="A46" s="130"/>
      <c r="B46" s="130"/>
      <c r="C46" s="130"/>
      <c r="D46" s="26"/>
      <c r="E46" s="131"/>
      <c r="F46" s="131"/>
      <c r="G46" s="131"/>
    </row>
    <row r="47" spans="1:7" ht="15.75" customHeight="1">
      <c r="A47" s="26"/>
      <c r="B47" s="8"/>
      <c r="C47" s="26"/>
      <c r="D47" s="26"/>
      <c r="E47" s="26"/>
      <c r="F47" s="131"/>
      <c r="G47" s="131"/>
    </row>
    <row r="48" spans="1:7" ht="15.75" customHeight="1">
      <c r="A48" s="26"/>
      <c r="B48" s="8"/>
      <c r="C48" s="26"/>
      <c r="D48" s="26"/>
      <c r="E48" s="26"/>
      <c r="F48" s="131"/>
      <c r="G48" s="131"/>
    </row>
    <row r="49" spans="1:10" ht="15.75" customHeight="1">
      <c r="A49" s="26"/>
      <c r="B49" s="8"/>
      <c r="C49" s="26"/>
      <c r="D49" s="26"/>
      <c r="E49" s="26"/>
      <c r="F49" s="131"/>
      <c r="G49" s="131"/>
    </row>
    <row r="50" spans="1:10" ht="15.75" customHeight="1">
      <c r="A50" s="26"/>
      <c r="B50" s="11"/>
      <c r="F50" s="131"/>
      <c r="G50" s="131"/>
      <c r="J50" s="2"/>
    </row>
    <row r="51" spans="1:10" ht="15.75" customHeight="1">
      <c r="A51" s="26"/>
      <c r="B51" s="11"/>
      <c r="F51" s="131"/>
      <c r="G51" s="131"/>
    </row>
    <row r="52" spans="1:10" ht="15.75" customHeight="1">
      <c r="B52" s="11"/>
    </row>
    <row r="53" spans="1:10" ht="15.75" customHeight="1">
      <c r="B53" s="11"/>
    </row>
    <row r="54" spans="1:10" ht="15.75" customHeight="1">
      <c r="B54" s="11"/>
    </row>
    <row r="55" spans="1:10" ht="15.75" customHeight="1">
      <c r="B55" s="11"/>
    </row>
    <row r="56" spans="1:10" ht="15.75" customHeight="1">
      <c r="B56" s="11"/>
    </row>
    <row r="57" spans="1:10" ht="15.75" customHeight="1">
      <c r="A57" s="17"/>
      <c r="B57" s="17"/>
      <c r="C57" s="17"/>
      <c r="D57" s="17"/>
      <c r="E57" s="17"/>
      <c r="F57" s="18"/>
      <c r="G57" s="17"/>
    </row>
    <row r="58" spans="1:10">
      <c r="A58" s="17"/>
      <c r="B58" s="17"/>
      <c r="C58" s="17"/>
      <c r="D58" s="17"/>
      <c r="E58" s="17"/>
      <c r="F58" s="19"/>
      <c r="G58" s="17"/>
    </row>
    <row r="59" spans="1:10">
      <c r="A59" s="17"/>
      <c r="B59" s="17"/>
      <c r="C59" s="17"/>
      <c r="D59" s="17"/>
      <c r="E59" s="17"/>
      <c r="F59" s="19"/>
      <c r="G59" s="17"/>
    </row>
    <row r="60" spans="1:10">
      <c r="A60" s="123"/>
      <c r="B60" s="123"/>
      <c r="C60" s="123"/>
      <c r="D60" s="123"/>
      <c r="E60" s="19"/>
      <c r="F60" s="19"/>
      <c r="G60" s="17"/>
    </row>
    <row r="61" spans="1:10">
      <c r="A61" s="17"/>
      <c r="B61" s="17"/>
      <c r="C61" s="17"/>
      <c r="D61" s="17"/>
      <c r="E61" s="17"/>
      <c r="F61" s="19"/>
      <c r="G61" s="20"/>
    </row>
    <row r="62" spans="1:10">
      <c r="A62" s="21"/>
      <c r="B62" s="17"/>
      <c r="C62" s="17"/>
      <c r="D62" s="17"/>
      <c r="E62" s="17"/>
      <c r="F62" s="19"/>
      <c r="G62" s="20"/>
    </row>
    <row r="63" spans="1:10">
      <c r="A63" s="22"/>
      <c r="B63" s="22"/>
      <c r="C63" s="22"/>
      <c r="D63" s="22"/>
      <c r="E63" s="22"/>
    </row>
  </sheetData>
  <protectedRanges>
    <protectedRange password="C701" sqref="G8" name="Bereich1_1"/>
  </protectedRanges>
  <mergeCells count="18">
    <mergeCell ref="A60:D60"/>
    <mergeCell ref="A17:C17"/>
    <mergeCell ref="F20:G20"/>
    <mergeCell ref="F21:G21"/>
    <mergeCell ref="D23:E23"/>
    <mergeCell ref="A46:C46"/>
    <mergeCell ref="E46:G46"/>
    <mergeCell ref="F47:G47"/>
    <mergeCell ref="F48:G48"/>
    <mergeCell ref="F49:G49"/>
    <mergeCell ref="F50:G50"/>
    <mergeCell ref="F51:G51"/>
    <mergeCell ref="A12:D12"/>
    <mergeCell ref="A3:F4"/>
    <mergeCell ref="A8:D8"/>
    <mergeCell ref="A9:D9"/>
    <mergeCell ref="A10:D10"/>
    <mergeCell ref="A11:D11"/>
  </mergeCells>
  <pageMargins left="0.78740157480314965" right="0.39370078740157483" top="0.74803149606299213" bottom="0.19685039370078741" header="0.31496062992125984" footer="0"/>
  <pageSetup paperSize="9" orientation="portrait" r:id="rId1"/>
  <headerFooter>
    <oddFooter xml:space="preserve">&amp;L&amp;8
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>
      <selection activeCell="A3" sqref="A1:A3"/>
    </sheetView>
  </sheetViews>
  <sheetFormatPr baseColWidth="10" defaultRowHeight="15"/>
  <sheetData>
    <row r="1" spans="1:1" ht="15.75">
      <c r="A1" s="149" t="s">
        <v>347</v>
      </c>
    </row>
    <row r="2" spans="1:1" ht="15.75">
      <c r="A2" s="149" t="s">
        <v>346</v>
      </c>
    </row>
    <row r="3" spans="1:1" ht="15.75">
      <c r="A3" s="14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7</vt:i4>
      </vt:variant>
    </vt:vector>
  </HeadingPairs>
  <TitlesOfParts>
    <vt:vector size="18" baseType="lpstr">
      <vt:lpstr>Kundenstamm Re</vt:lpstr>
      <vt:lpstr>Rechnung inkl. MWST</vt:lpstr>
      <vt:lpstr>Rechnung exkl. MWST</vt:lpstr>
      <vt:lpstr>Zahlungserinnerung</vt:lpstr>
      <vt:lpstr>Zahlungsüberweisung</vt:lpstr>
      <vt:lpstr>Kuvert</vt:lpstr>
      <vt:lpstr>Vorlage Firmenpap</vt:lpstr>
      <vt:lpstr>Vorlage Firmenpapier Angebot</vt:lpstr>
      <vt:lpstr>Adresszeile</vt:lpstr>
      <vt:lpstr>Briefvorlage</vt:lpstr>
      <vt:lpstr>TR</vt:lpstr>
      <vt:lpstr>Adresszeile!Druckbereich</vt:lpstr>
      <vt:lpstr>Briefvorlage!Druckbereich</vt:lpstr>
      <vt:lpstr>'Rechnung exkl. MWST'!Druckbereich</vt:lpstr>
      <vt:lpstr>'Rechnung inkl. MWST'!Druckbereich</vt:lpstr>
      <vt:lpstr>'Vorlage Firmenpap'!Druckbereich</vt:lpstr>
      <vt:lpstr>'Vorlage Firmenpapier Angebot'!Druckbereich</vt:lpstr>
      <vt:lpstr>Zahlungserinnerung!Druckbereich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dbadmin</dc:creator>
  <cp:lastModifiedBy>Natalie Frischmann</cp:lastModifiedBy>
  <cp:lastPrinted>2025-11-28T14:36:31Z</cp:lastPrinted>
  <dcterms:created xsi:type="dcterms:W3CDTF">2015-09-22T09:58:35Z</dcterms:created>
  <dcterms:modified xsi:type="dcterms:W3CDTF">2026-05-27T11:41:20Z</dcterms:modified>
</cp:coreProperties>
</file>