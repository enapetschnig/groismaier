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cuments\01_Firma\3_ANGEBOTE\2026 Angebote\"/>
    </mc:Choice>
  </mc:AlternateContent>
  <xr:revisionPtr revIDLastSave="0" documentId="13_ncr:1_{EB260179-0A69-4C5B-931B-0132428E377A}" xr6:coauthVersionLast="47" xr6:coauthVersionMax="47" xr10:uidLastSave="{00000000-0000-0000-0000-000000000000}"/>
  <bookViews>
    <workbookView xWindow="1170" yWindow="1170" windowWidth="28800" windowHeight="15345" tabRatio="977" firstSheet="1" activeTab="2" xr2:uid="{00000000-000D-0000-FFFF-FFFF00000000}"/>
  </bookViews>
  <sheets>
    <sheet name="Material" sheetId="14" r:id="rId1"/>
    <sheet name="BM-L" sheetId="20" r:id="rId2"/>
    <sheet name="BGK" sheetId="19" r:id="rId3"/>
    <sheet name="Abbruch" sheetId="18" r:id="rId4"/>
    <sheet name="Sichtdach-Aufbau-Bestand" sheetId="34" r:id="rId5"/>
    <sheet name="Sichtdachdach-Aufbau" sheetId="38" r:id="rId6"/>
    <sheet name="Dachelemente" sheetId="35" r:id="rId7"/>
    <sheet name="Dachkonst.konv." sheetId="36" r:id="rId8"/>
    <sheet name="Dachaufbau" sheetId="22" state="hidden" r:id="rId9"/>
    <sheet name="AW IW" sheetId="30" r:id="rId10"/>
    <sheet name="Fassade" sheetId="32" r:id="rId11"/>
    <sheet name="Dachdecker Spengler" sheetId="31" r:id="rId12"/>
    <sheet name="TramDE" sheetId="25" r:id="rId13"/>
    <sheet name="DE massiv" sheetId="24" r:id="rId14"/>
    <sheet name="Balkon" sheetId="27" r:id="rId15"/>
    <sheet name="Zaun Brücke" sheetId="28" r:id="rId16"/>
    <sheet name="Baumeisterarb." sheetId="37" r:id="rId17"/>
    <sheet name="div.Kalk" sheetId="23" r:id="rId18"/>
    <sheet name="AUFSP.D" sheetId="7" state="hidden" r:id="rId19"/>
    <sheet name="GED. ELEMENTE" sheetId="5" state="hidden" r:id="rId20"/>
    <sheet name="UNGED. ELEMENTE" sheetId="6" state="hidden" r:id="rId21"/>
    <sheet name="Riegelwände" sheetId="9" state="hidden" r:id="rId22"/>
    <sheet name="Innenwände" sheetId="11" state="hidden" r:id="rId23"/>
    <sheet name="Tramdecke" sheetId="12" state="hidden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7" l="1"/>
  <c r="G15" i="27"/>
  <c r="G13" i="27"/>
  <c r="G12" i="27"/>
  <c r="G10" i="27"/>
  <c r="G9" i="27"/>
  <c r="G8" i="27"/>
  <c r="G5" i="27"/>
  <c r="G4" i="27"/>
  <c r="G3" i="27"/>
  <c r="G3" i="25"/>
  <c r="G13" i="32"/>
  <c r="G12" i="32"/>
  <c r="G11" i="32"/>
  <c r="G10" i="32"/>
  <c r="G9" i="32"/>
  <c r="G8" i="32"/>
  <c r="G7" i="32"/>
  <c r="G6" i="32"/>
  <c r="G5" i="32"/>
  <c r="G4" i="32"/>
  <c r="G3" i="32"/>
  <c r="G24" i="38"/>
  <c r="G21" i="38"/>
  <c r="G22" i="38"/>
  <c r="G20" i="38"/>
  <c r="G19" i="38"/>
  <c r="G18" i="38"/>
  <c r="G16" i="38"/>
  <c r="G15" i="38"/>
  <c r="G14" i="38"/>
  <c r="G13" i="38"/>
  <c r="G12" i="38"/>
  <c r="G9" i="38"/>
  <c r="G8" i="38"/>
  <c r="G7" i="38"/>
  <c r="G6" i="38"/>
  <c r="G5" i="38"/>
  <c r="G4" i="38"/>
  <c r="G3" i="38"/>
  <c r="F25" i="38"/>
  <c r="F26" i="38"/>
  <c r="F27" i="38"/>
  <c r="F28" i="38"/>
  <c r="F29" i="38"/>
  <c r="F30" i="38"/>
  <c r="E25" i="38"/>
  <c r="E26" i="38"/>
  <c r="E27" i="38"/>
  <c r="E28" i="38"/>
  <c r="E29" i="38"/>
  <c r="E30" i="38"/>
  <c r="D25" i="38"/>
  <c r="D26" i="38"/>
  <c r="D27" i="38"/>
  <c r="D28" i="38"/>
  <c r="D29" i="38"/>
  <c r="D30" i="38"/>
  <c r="G3" i="19"/>
  <c r="H12" i="38"/>
  <c r="H10" i="38" l="1"/>
  <c r="H9" i="38"/>
  <c r="G10" i="38"/>
  <c r="H11" i="38"/>
  <c r="G11" i="38"/>
  <c r="J88" i="23" l="1"/>
  <c r="N77" i="30" l="1"/>
  <c r="N76" i="30"/>
  <c r="H63" i="35"/>
  <c r="H58" i="35"/>
  <c r="H57" i="35"/>
  <c r="G22" i="35"/>
  <c r="H51" i="35"/>
  <c r="H50" i="35"/>
  <c r="H49" i="35"/>
  <c r="H48" i="35"/>
  <c r="H47" i="35"/>
  <c r="H46" i="35"/>
  <c r="H45" i="35"/>
  <c r="H44" i="35"/>
  <c r="H43" i="35"/>
  <c r="E55" i="30" l="1"/>
  <c r="E42" i="30"/>
  <c r="I85" i="23"/>
  <c r="I84" i="23"/>
  <c r="I82" i="23"/>
  <c r="I81" i="23"/>
  <c r="I80" i="23"/>
  <c r="I78" i="23"/>
  <c r="I86" i="23" s="1"/>
  <c r="E48" i="30"/>
  <c r="E35" i="30"/>
  <c r="E81" i="23"/>
  <c r="E80" i="23"/>
  <c r="E78" i="23"/>
  <c r="I88" i="23" l="1"/>
  <c r="K88" i="23" s="1"/>
  <c r="H21" i="38" l="1"/>
  <c r="H4" i="38"/>
  <c r="H3" i="38"/>
  <c r="G70" i="35"/>
  <c r="G29" i="36"/>
  <c r="G27" i="36"/>
  <c r="H27" i="36"/>
  <c r="K27" i="36" s="1"/>
  <c r="H54" i="36" l="1"/>
  <c r="P53" i="36"/>
  <c r="G50" i="36"/>
  <c r="D57" i="25"/>
  <c r="O46" i="25"/>
  <c r="D50" i="25"/>
  <c r="D31" i="25"/>
  <c r="D37" i="25"/>
  <c r="H56" i="35" l="1"/>
  <c r="H59" i="35"/>
  <c r="H60" i="35"/>
  <c r="H61" i="35"/>
  <c r="D61" i="35"/>
  <c r="K91" i="35"/>
  <c r="K86" i="35"/>
  <c r="G83" i="35"/>
  <c r="G9" i="35"/>
  <c r="I9" i="35"/>
  <c r="G11" i="35"/>
  <c r="G30" i="31"/>
  <c r="H27" i="30"/>
  <c r="G27" i="30"/>
  <c r="F27" i="30"/>
  <c r="D27" i="30"/>
  <c r="E27" i="30" s="1"/>
  <c r="H6" i="38" l="1"/>
  <c r="H55" i="36" l="1"/>
  <c r="I23" i="23"/>
  <c r="E30" i="23"/>
  <c r="E35" i="23" s="1"/>
  <c r="I22" i="23"/>
  <c r="H94" i="27"/>
  <c r="I94" i="27" s="1"/>
  <c r="E93" i="27" l="1"/>
  <c r="I93" i="27" s="1"/>
  <c r="F4" i="36"/>
  <c r="F5" i="36"/>
  <c r="F6" i="36"/>
  <c r="F8" i="36"/>
  <c r="F9" i="36"/>
  <c r="F10" i="36"/>
  <c r="F11" i="36"/>
  <c r="F13" i="36"/>
  <c r="F14" i="36"/>
  <c r="F15" i="36"/>
  <c r="F16" i="36"/>
  <c r="F19" i="36"/>
  <c r="E73" i="36" l="1"/>
  <c r="G7" i="36"/>
  <c r="F7" i="36" s="1"/>
  <c r="F10" i="38"/>
  <c r="F17" i="38"/>
  <c r="H13" i="38"/>
  <c r="F13" i="38"/>
  <c r="H15" i="38"/>
  <c r="F12" i="38"/>
  <c r="H8" i="38"/>
  <c r="H7" i="38"/>
  <c r="H16" i="38"/>
  <c r="F16" i="38"/>
  <c r="H5" i="38"/>
  <c r="H18" i="38"/>
  <c r="F18" i="38"/>
  <c r="H20" i="38"/>
  <c r="H19" i="38"/>
  <c r="F20" i="38"/>
  <c r="F19" i="38"/>
  <c r="D17" i="38"/>
  <c r="E17" i="38" s="1"/>
  <c r="F11" i="38"/>
  <c r="F14" i="38"/>
  <c r="H14" i="38"/>
  <c r="F15" i="38"/>
  <c r="F9" i="38"/>
  <c r="F8" i="38"/>
  <c r="F7" i="38"/>
  <c r="F6" i="38"/>
  <c r="F5" i="38"/>
  <c r="F4" i="38"/>
  <c r="F3" i="38"/>
  <c r="H53" i="36" l="1"/>
  <c r="D13" i="38"/>
  <c r="E13" i="38" s="1"/>
  <c r="D12" i="38"/>
  <c r="E12" i="38" s="1"/>
  <c r="D15" i="38"/>
  <c r="E15" i="38" s="1"/>
  <c r="D19" i="38"/>
  <c r="E19" i="38" s="1"/>
  <c r="D18" i="38"/>
  <c r="E18" i="38" s="1"/>
  <c r="D5" i="38"/>
  <c r="E5" i="38" s="1"/>
  <c r="D20" i="38"/>
  <c r="E20" i="38" s="1"/>
  <c r="D14" i="38"/>
  <c r="E14" i="38" s="1"/>
  <c r="D16" i="38"/>
  <c r="E16" i="38" s="1"/>
  <c r="D11" i="38"/>
  <c r="E11" i="38" s="1"/>
  <c r="D7" i="38"/>
  <c r="E7" i="38" s="1"/>
  <c r="D3" i="38" l="1"/>
  <c r="E3" i="38" s="1"/>
  <c r="D4" i="38"/>
  <c r="E4" i="38" s="1"/>
  <c r="D6" i="38"/>
  <c r="E6" i="38" s="1"/>
  <c r="D8" i="38"/>
  <c r="E8" i="38" s="1"/>
  <c r="D9" i="38"/>
  <c r="E9" i="38" s="1"/>
  <c r="D10" i="38"/>
  <c r="E10" i="38" s="1"/>
  <c r="D4" i="34"/>
  <c r="D5" i="34"/>
  <c r="D6" i="34"/>
  <c r="D7" i="34"/>
  <c r="D8" i="34"/>
  <c r="D9" i="34"/>
  <c r="D10" i="34"/>
  <c r="D11" i="34"/>
  <c r="D12" i="34"/>
  <c r="D3" i="34"/>
  <c r="H30" i="38" l="1"/>
  <c r="G30" i="38"/>
  <c r="H24" i="38"/>
  <c r="F24" i="38"/>
  <c r="H23" i="38"/>
  <c r="G23" i="38"/>
  <c r="F23" i="38" s="1"/>
  <c r="H22" i="38"/>
  <c r="F22" i="38"/>
  <c r="F21" i="38"/>
  <c r="L68" i="23"/>
  <c r="L69" i="23"/>
  <c r="E59" i="23"/>
  <c r="I59" i="23" s="1"/>
  <c r="E57" i="23"/>
  <c r="I57" i="23" s="1"/>
  <c r="E54" i="23"/>
  <c r="I53" i="23"/>
  <c r="E51" i="23"/>
  <c r="J60" i="23" l="1"/>
  <c r="L60" i="23" s="1"/>
  <c r="D23" i="38"/>
  <c r="E23" i="38" s="1"/>
  <c r="D22" i="38"/>
  <c r="E22" i="38" s="1"/>
  <c r="D24" i="38"/>
  <c r="E24" i="38" s="1"/>
  <c r="D21" i="38"/>
  <c r="E21" i="38" s="1"/>
  <c r="I54" i="23"/>
  <c r="J54" i="23" s="1"/>
  <c r="L54" i="23" s="1"/>
  <c r="I68" i="23"/>
  <c r="E63" i="23"/>
  <c r="E50" i="23"/>
  <c r="I50" i="23" s="1"/>
  <c r="E49" i="23"/>
  <c r="I49" i="23" s="1"/>
  <c r="E32" i="36"/>
  <c r="H33" i="36" s="1"/>
  <c r="I29" i="36"/>
  <c r="K29" i="36" s="1"/>
  <c r="G111" i="35"/>
  <c r="G36" i="35"/>
  <c r="F36" i="35" s="1"/>
  <c r="H36" i="35"/>
  <c r="H28" i="36"/>
  <c r="K28" i="36" s="1"/>
  <c r="H33" i="35"/>
  <c r="H30" i="35"/>
  <c r="H26" i="35"/>
  <c r="G33" i="35"/>
  <c r="F33" i="35"/>
  <c r="G30" i="35"/>
  <c r="F30" i="35"/>
  <c r="H28" i="35"/>
  <c r="G28" i="35"/>
  <c r="F28" i="35"/>
  <c r="G26" i="35"/>
  <c r="F26" i="35" s="1"/>
  <c r="H24" i="35"/>
  <c r="G24" i="35"/>
  <c r="F24" i="35" s="1"/>
  <c r="H17" i="35"/>
  <c r="H14" i="35"/>
  <c r="H9" i="35"/>
  <c r="H11" i="35"/>
  <c r="F9" i="35"/>
  <c r="G17" i="35"/>
  <c r="F17" i="35" s="1"/>
  <c r="H7" i="35"/>
  <c r="G7" i="35"/>
  <c r="G14" i="35"/>
  <c r="F14" i="35" s="1"/>
  <c r="E125" i="35"/>
  <c r="H125" i="35" s="1"/>
  <c r="H120" i="35"/>
  <c r="H119" i="35"/>
  <c r="G119" i="35"/>
  <c r="G116" i="35"/>
  <c r="H116" i="35" s="1"/>
  <c r="H115" i="35"/>
  <c r="H114" i="35"/>
  <c r="G114" i="35"/>
  <c r="H110" i="35"/>
  <c r="H109" i="35"/>
  <c r="G109" i="35"/>
  <c r="H5" i="35"/>
  <c r="G63" i="35"/>
  <c r="F63" i="35" s="1"/>
  <c r="E61" i="35"/>
  <c r="F61" i="35"/>
  <c r="G53" i="35"/>
  <c r="F53" i="35" s="1"/>
  <c r="H53" i="35"/>
  <c r="F50" i="35"/>
  <c r="H13" i="27"/>
  <c r="H15" i="27"/>
  <c r="H9" i="27"/>
  <c r="H8" i="27"/>
  <c r="H5" i="27"/>
  <c r="H17" i="27"/>
  <c r="H3" i="27"/>
  <c r="H4" i="27"/>
  <c r="H3" i="23"/>
  <c r="D50" i="35" l="1"/>
  <c r="E50" i="35" s="1"/>
  <c r="D36" i="35"/>
  <c r="E36" i="35" s="1"/>
  <c r="D33" i="35"/>
  <c r="E33" i="35" s="1"/>
  <c r="E65" i="23"/>
  <c r="I63" i="23"/>
  <c r="L63" i="23" s="1"/>
  <c r="E52" i="23"/>
  <c r="I51" i="23"/>
  <c r="J51" i="23" s="1"/>
  <c r="L51" i="23" s="1"/>
  <c r="G33" i="36"/>
  <c r="D30" i="35"/>
  <c r="E30" i="35" s="1"/>
  <c r="D28" i="35"/>
  <c r="E28" i="35" s="1"/>
  <c r="D7" i="35"/>
  <c r="E7" i="35" s="1"/>
  <c r="D26" i="35"/>
  <c r="E26" i="35" s="1"/>
  <c r="D24" i="35"/>
  <c r="E24" i="35" s="1"/>
  <c r="K122" i="35"/>
  <c r="M122" i="35" s="1"/>
  <c r="D11" i="35"/>
  <c r="E11" i="35" s="1"/>
  <c r="F11" i="35"/>
  <c r="D9" i="35"/>
  <c r="E9" i="35" s="1"/>
  <c r="D17" i="35"/>
  <c r="E17" i="35" s="1"/>
  <c r="F7" i="35"/>
  <c r="D14" i="35"/>
  <c r="E14" i="35" s="1"/>
  <c r="D22" i="35"/>
  <c r="E22" i="35" s="1"/>
  <c r="G128" i="35"/>
  <c r="F22" i="35"/>
  <c r="K116" i="35"/>
  <c r="M116" i="35" s="1"/>
  <c r="H128" i="35"/>
  <c r="K127" i="35"/>
  <c r="M127" i="35" s="1"/>
  <c r="I111" i="35"/>
  <c r="D63" i="35"/>
  <c r="E63" i="35" s="1"/>
  <c r="D53" i="35"/>
  <c r="E53" i="35" s="1"/>
  <c r="D13" i="27"/>
  <c r="E13" i="27" s="1"/>
  <c r="F13" i="27"/>
  <c r="I71" i="23" l="1"/>
  <c r="M111" i="35"/>
  <c r="M128" i="35" s="1"/>
  <c r="K111" i="35"/>
  <c r="I27" i="23"/>
  <c r="I33" i="23"/>
  <c r="I30" i="23"/>
  <c r="I29" i="23"/>
  <c r="E20" i="23"/>
  <c r="E19" i="23"/>
  <c r="I19" i="23" s="1"/>
  <c r="E18" i="23"/>
  <c r="I18" i="23" s="1"/>
  <c r="I17" i="23"/>
  <c r="D16" i="19"/>
  <c r="E16" i="19"/>
  <c r="F16" i="19"/>
  <c r="D17" i="19"/>
  <c r="E17" i="19" s="1"/>
  <c r="F17" i="19"/>
  <c r="D18" i="19"/>
  <c r="E18" i="19" s="1"/>
  <c r="F18" i="19"/>
  <c r="D19" i="19"/>
  <c r="E19" i="19" s="1"/>
  <c r="F19" i="19"/>
  <c r="D3" i="37"/>
  <c r="E3" i="37" s="1"/>
  <c r="F3" i="37"/>
  <c r="H48" i="37"/>
  <c r="F47" i="37"/>
  <c r="H47" i="37" s="1"/>
  <c r="F46" i="37"/>
  <c r="H46" i="37" s="1"/>
  <c r="F45" i="37"/>
  <c r="D45" i="37"/>
  <c r="H45" i="37" s="1"/>
  <c r="D44" i="37"/>
  <c r="H44" i="37" s="1"/>
  <c r="H42" i="37"/>
  <c r="H49" i="37" s="1"/>
  <c r="C38" i="37"/>
  <c r="F37" i="37"/>
  <c r="H37" i="37" s="1"/>
  <c r="F36" i="37"/>
  <c r="D36" i="37"/>
  <c r="H35" i="37"/>
  <c r="F34" i="37"/>
  <c r="H34" i="37" s="1"/>
  <c r="F33" i="37"/>
  <c r="H33" i="37" s="1"/>
  <c r="F32" i="37"/>
  <c r="H32" i="37" s="1"/>
  <c r="F29" i="37"/>
  <c r="H29" i="37" s="1"/>
  <c r="F28" i="37"/>
  <c r="H28" i="37" s="1"/>
  <c r="H27" i="37"/>
  <c r="H26" i="37"/>
  <c r="D24" i="37"/>
  <c r="H24" i="37" s="1"/>
  <c r="H36" i="37" l="1"/>
  <c r="K128" i="35"/>
  <c r="L123" i="35"/>
  <c r="I20" i="23"/>
  <c r="I41" i="23" s="1"/>
  <c r="J30" i="23"/>
  <c r="J19" i="23"/>
  <c r="E24" i="23"/>
  <c r="H38" i="37"/>
  <c r="G30" i="25" l="1"/>
  <c r="F5" i="25"/>
  <c r="F3" i="25"/>
  <c r="H5" i="25"/>
  <c r="D5" i="25"/>
  <c r="E5" i="25" s="1"/>
  <c r="D69" i="25"/>
  <c r="D62" i="25"/>
  <c r="G63" i="25" s="1"/>
  <c r="J65" i="25" s="1"/>
  <c r="G58" i="25"/>
  <c r="D55" i="25"/>
  <c r="G57" i="25" s="1"/>
  <c r="G51" i="25"/>
  <c r="D48" i="25"/>
  <c r="G50" i="25" s="1"/>
  <c r="D44" i="25"/>
  <c r="D43" i="25"/>
  <c r="G45" i="25" s="1"/>
  <c r="D42" i="25"/>
  <c r="G43" i="25" s="1"/>
  <c r="G38" i="25"/>
  <c r="G37" i="25"/>
  <c r="G36" i="25"/>
  <c r="F36" i="25"/>
  <c r="G32" i="25"/>
  <c r="G31" i="25"/>
  <c r="F30" i="25"/>
  <c r="H3" i="25" l="1"/>
  <c r="D3" i="25" s="1"/>
  <c r="E3" i="25" s="1"/>
  <c r="G44" i="25"/>
  <c r="J46" i="25"/>
  <c r="F43" i="25"/>
  <c r="J39" i="25"/>
  <c r="F49" i="25"/>
  <c r="F70" i="25"/>
  <c r="G71" i="25"/>
  <c r="G56" i="25"/>
  <c r="J59" i="25" s="1"/>
  <c r="F63" i="25"/>
  <c r="G49" i="25"/>
  <c r="J33" i="25"/>
  <c r="G70" i="25"/>
  <c r="J73" i="25" s="1"/>
  <c r="F56" i="25"/>
  <c r="L75" i="25" l="1"/>
  <c r="J52" i="25"/>
  <c r="M52" i="25"/>
  <c r="J75" i="25"/>
  <c r="F75" i="25"/>
  <c r="G75" i="25"/>
  <c r="D4" i="36" l="1"/>
  <c r="E4" i="36" s="1"/>
  <c r="D5" i="36"/>
  <c r="D6" i="36"/>
  <c r="D8" i="36"/>
  <c r="E8" i="36" s="1"/>
  <c r="E5" i="36"/>
  <c r="E6" i="36"/>
  <c r="E9" i="36"/>
  <c r="F15" i="34"/>
  <c r="F3" i="34"/>
  <c r="F4" i="34"/>
  <c r="F5" i="34"/>
  <c r="F6" i="34"/>
  <c r="F7" i="34"/>
  <c r="F8" i="34"/>
  <c r="F9" i="34"/>
  <c r="F10" i="34"/>
  <c r="F11" i="34"/>
  <c r="F12" i="34"/>
  <c r="F13" i="34"/>
  <c r="D4" i="28"/>
  <c r="E4" i="28" s="1"/>
  <c r="F4" i="28"/>
  <c r="G3" i="28"/>
  <c r="H3" i="28" s="1"/>
  <c r="D3" i="28" s="1"/>
  <c r="E3" i="28" s="1"/>
  <c r="I19" i="28"/>
  <c r="D20" i="27"/>
  <c r="E20" i="27" s="1"/>
  <c r="F20" i="27"/>
  <c r="D21" i="27"/>
  <c r="E21" i="27"/>
  <c r="F21" i="27"/>
  <c r="I24" i="28"/>
  <c r="E22" i="28"/>
  <c r="I22" i="28" s="1"/>
  <c r="E21" i="28"/>
  <c r="E26" i="28" s="1"/>
  <c r="G14" i="28"/>
  <c r="E14" i="28"/>
  <c r="E13" i="28"/>
  <c r="E12" i="28"/>
  <c r="I12" i="28" s="1"/>
  <c r="I11" i="28"/>
  <c r="E185" i="27"/>
  <c r="I183" i="27"/>
  <c r="I181" i="27"/>
  <c r="I179" i="27"/>
  <c r="E175" i="27"/>
  <c r="E174" i="27"/>
  <c r="I174" i="27" s="1"/>
  <c r="I173" i="27"/>
  <c r="E162" i="27"/>
  <c r="I160" i="27"/>
  <c r="I158" i="27"/>
  <c r="I156" i="27"/>
  <c r="J158" i="27" s="1"/>
  <c r="I153" i="27"/>
  <c r="E152" i="27"/>
  <c r="I152" i="27" s="1"/>
  <c r="I151" i="27"/>
  <c r="I150" i="27"/>
  <c r="E138" i="27"/>
  <c r="I136" i="27"/>
  <c r="I134" i="27"/>
  <c r="I132" i="27"/>
  <c r="I129" i="27"/>
  <c r="E128" i="27"/>
  <c r="I128" i="27" s="1"/>
  <c r="E127" i="27"/>
  <c r="I127" i="27" s="1"/>
  <c r="I118" i="27"/>
  <c r="E115" i="27"/>
  <c r="I113" i="27"/>
  <c r="J111" i="27"/>
  <c r="I109" i="27"/>
  <c r="E105" i="27"/>
  <c r="E101" i="27"/>
  <c r="E100" i="27"/>
  <c r="J98" i="27"/>
  <c r="E91" i="27"/>
  <c r="E90" i="27"/>
  <c r="E89" i="27"/>
  <c r="E88" i="27"/>
  <c r="I88" i="27" s="1"/>
  <c r="E87" i="27"/>
  <c r="I87" i="27" s="1"/>
  <c r="I86" i="27"/>
  <c r="I78" i="27"/>
  <c r="E77" i="27"/>
  <c r="I77" i="27" s="1"/>
  <c r="I79" i="27" s="1"/>
  <c r="E67" i="27"/>
  <c r="I65" i="27"/>
  <c r="I63" i="27"/>
  <c r="I61" i="27"/>
  <c r="I60" i="27"/>
  <c r="E55" i="27"/>
  <c r="I55" i="27" s="1"/>
  <c r="E53" i="27"/>
  <c r="E54" i="27" s="1"/>
  <c r="I54" i="27" s="1"/>
  <c r="I52" i="27"/>
  <c r="D14" i="27"/>
  <c r="E14" i="27" s="1"/>
  <c r="F14" i="27"/>
  <c r="D15" i="27"/>
  <c r="E15" i="27" s="1"/>
  <c r="F15" i="27"/>
  <c r="D16" i="27"/>
  <c r="E16" i="27" s="1"/>
  <c r="F16" i="27"/>
  <c r="D17" i="27"/>
  <c r="E17" i="27" s="1"/>
  <c r="F17" i="27"/>
  <c r="D18" i="27"/>
  <c r="E18" i="27"/>
  <c r="F18" i="27"/>
  <c r="D19" i="27"/>
  <c r="E19" i="27" s="1"/>
  <c r="F19" i="27"/>
  <c r="E40" i="27"/>
  <c r="I38" i="27"/>
  <c r="I36" i="27"/>
  <c r="I35" i="27"/>
  <c r="I34" i="27"/>
  <c r="G29" i="27"/>
  <c r="D29" i="27"/>
  <c r="E29" i="27" s="1"/>
  <c r="E28" i="27"/>
  <c r="I28" i="27" s="1"/>
  <c r="I27" i="27"/>
  <c r="I62" i="27" l="1"/>
  <c r="F3" i="28"/>
  <c r="J133" i="27"/>
  <c r="I14" i="28"/>
  <c r="E16" i="28"/>
  <c r="J128" i="27"/>
  <c r="I89" i="27"/>
  <c r="I191" i="27"/>
  <c r="I21" i="28"/>
  <c r="J22" i="28" s="1"/>
  <c r="I13" i="28"/>
  <c r="J13" i="28" s="1"/>
  <c r="I168" i="27"/>
  <c r="J154" i="27"/>
  <c r="I144" i="27"/>
  <c r="E103" i="27"/>
  <c r="G90" i="27"/>
  <c r="I53" i="27"/>
  <c r="I57" i="27" s="1"/>
  <c r="I73" i="27" s="1"/>
  <c r="I29" i="27"/>
  <c r="I46" i="27" s="1"/>
  <c r="D4" i="27"/>
  <c r="E4" i="27" s="1"/>
  <c r="F4" i="27"/>
  <c r="F5" i="27"/>
  <c r="F6" i="27"/>
  <c r="F7" i="27"/>
  <c r="F8" i="27"/>
  <c r="F11" i="27"/>
  <c r="F9" i="27"/>
  <c r="F3" i="27"/>
  <c r="D9" i="27"/>
  <c r="E9" i="27" s="1"/>
  <c r="D3" i="27"/>
  <c r="E3" i="27" s="1"/>
  <c r="D5" i="27"/>
  <c r="E5" i="27" s="1"/>
  <c r="D6" i="27"/>
  <c r="E6" i="27" s="1"/>
  <c r="D7" i="27"/>
  <c r="E7" i="27" s="1"/>
  <c r="D8" i="27"/>
  <c r="E8" i="27" s="1"/>
  <c r="D11" i="27"/>
  <c r="E11" i="27" s="1"/>
  <c r="H12" i="27"/>
  <c r="F12" i="27"/>
  <c r="H10" i="27"/>
  <c r="F10" i="27"/>
  <c r="F32" i="31"/>
  <c r="F33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H31" i="31"/>
  <c r="G31" i="31"/>
  <c r="F31" i="31" s="1"/>
  <c r="H30" i="31"/>
  <c r="F30" i="31"/>
  <c r="D30" i="31" l="1"/>
  <c r="E30" i="31" s="1"/>
  <c r="D31" i="31"/>
  <c r="I32" i="28"/>
  <c r="G91" i="27"/>
  <c r="I90" i="27"/>
  <c r="D12" i="27"/>
  <c r="E12" i="27" s="1"/>
  <c r="D10" i="27"/>
  <c r="E10" i="27" s="1"/>
  <c r="E15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1" i="31"/>
  <c r="E32" i="31"/>
  <c r="E33" i="31"/>
  <c r="D16" i="31"/>
  <c r="E16" i="31" s="1"/>
  <c r="D13" i="31"/>
  <c r="E13" i="31" s="1"/>
  <c r="D12" i="31"/>
  <c r="E12" i="31" s="1"/>
  <c r="D11" i="31"/>
  <c r="E11" i="31" s="1"/>
  <c r="D10" i="31"/>
  <c r="E10" i="31" s="1"/>
  <c r="D9" i="31"/>
  <c r="E9" i="31" s="1"/>
  <c r="D8" i="31"/>
  <c r="E8" i="31" s="1"/>
  <c r="D7" i="31"/>
  <c r="E7" i="31" s="1"/>
  <c r="D6" i="31"/>
  <c r="E6" i="31" s="1"/>
  <c r="D5" i="31"/>
  <c r="E5" i="31" s="1"/>
  <c r="D4" i="31"/>
  <c r="E4" i="31" s="1"/>
  <c r="D3" i="31"/>
  <c r="E3" i="31" s="1"/>
  <c r="H10" i="32"/>
  <c r="F10" i="32"/>
  <c r="I91" i="27" l="1"/>
  <c r="I121" i="27" s="1"/>
  <c r="G100" i="27"/>
  <c r="J100" i="27" s="1"/>
  <c r="G101" i="27"/>
  <c r="J101" i="27" s="1"/>
  <c r="H12" i="32"/>
  <c r="F11" i="32"/>
  <c r="H11" i="32"/>
  <c r="H9" i="32"/>
  <c r="F9" i="32"/>
  <c r="H8" i="32"/>
  <c r="D8" i="32"/>
  <c r="E8" i="32" s="1"/>
  <c r="H7" i="32"/>
  <c r="F7" i="32"/>
  <c r="H6" i="32"/>
  <c r="F6" i="32"/>
  <c r="F5" i="32"/>
  <c r="H5" i="32"/>
  <c r="H4" i="32"/>
  <c r="F4" i="32"/>
  <c r="F12" i="32"/>
  <c r="F13" i="32"/>
  <c r="D10" i="32"/>
  <c r="E10" i="32" s="1"/>
  <c r="D11" i="32"/>
  <c r="E11" i="32" s="1"/>
  <c r="D12" i="32"/>
  <c r="E12" i="32" s="1"/>
  <c r="D13" i="32"/>
  <c r="E13" i="32" s="1"/>
  <c r="H3" i="32"/>
  <c r="F3" i="32"/>
  <c r="D5" i="32" l="1"/>
  <c r="E5" i="32" s="1"/>
  <c r="D7" i="32"/>
  <c r="E7" i="32" s="1"/>
  <c r="D6" i="32"/>
  <c r="E6" i="32" s="1"/>
  <c r="D9" i="32"/>
  <c r="E9" i="32" s="1"/>
  <c r="D4" i="32"/>
  <c r="E4" i="32" s="1"/>
  <c r="F8" i="32"/>
  <c r="D3" i="32"/>
  <c r="E3" i="32" s="1"/>
  <c r="G14" i="30" l="1"/>
  <c r="F14" i="30" s="1"/>
  <c r="H14" i="30"/>
  <c r="D15" i="30"/>
  <c r="E15" i="30"/>
  <c r="F15" i="30"/>
  <c r="F16" i="30"/>
  <c r="D16" i="30"/>
  <c r="E16" i="30" s="1"/>
  <c r="F26" i="30"/>
  <c r="F24" i="30"/>
  <c r="F23" i="30"/>
  <c r="G25" i="30"/>
  <c r="G8" i="30"/>
  <c r="F8" i="30" s="1"/>
  <c r="H8" i="30"/>
  <c r="M13" i="30"/>
  <c r="G7" i="30"/>
  <c r="F7" i="30" s="1"/>
  <c r="D7" i="30"/>
  <c r="E7" i="30" s="1"/>
  <c r="G26" i="30"/>
  <c r="D26" i="30" s="1"/>
  <c r="E26" i="30" s="1"/>
  <c r="G24" i="30"/>
  <c r="H24" i="30" s="1"/>
  <c r="G23" i="30"/>
  <c r="H23" i="30" s="1"/>
  <c r="E5" i="30"/>
  <c r="D9" i="30"/>
  <c r="E9" i="30" s="1"/>
  <c r="F9" i="30"/>
  <c r="G6" i="30"/>
  <c r="F6" i="30" s="1"/>
  <c r="G3" i="30"/>
  <c r="F3" i="30" s="1"/>
  <c r="H5" i="30"/>
  <c r="G5" i="30" s="1"/>
  <c r="H34" i="30"/>
  <c r="H35" i="30"/>
  <c r="E67" i="30"/>
  <c r="G68" i="30" s="1"/>
  <c r="E60" i="30"/>
  <c r="H61" i="30" s="1"/>
  <c r="M63" i="30" s="1"/>
  <c r="H56" i="30"/>
  <c r="E53" i="30"/>
  <c r="H54" i="30" s="1"/>
  <c r="H49" i="30"/>
  <c r="E46" i="30"/>
  <c r="E41" i="30"/>
  <c r="E40" i="30"/>
  <c r="H36" i="30"/>
  <c r="G34" i="30"/>
  <c r="F3" i="18"/>
  <c r="D4" i="18"/>
  <c r="D5" i="18"/>
  <c r="D7" i="18"/>
  <c r="D8" i="18"/>
  <c r="D3" i="18"/>
  <c r="E4" i="18"/>
  <c r="E5" i="18"/>
  <c r="E7" i="18"/>
  <c r="E8" i="18"/>
  <c r="E3" i="18"/>
  <c r="G23" i="34"/>
  <c r="G22" i="34"/>
  <c r="G20" i="34"/>
  <c r="F20" i="34" s="1"/>
  <c r="G19" i="34"/>
  <c r="F19" i="34" s="1"/>
  <c r="G18" i="34"/>
  <c r="F18" i="34" s="1"/>
  <c r="H23" i="34"/>
  <c r="F23" i="34"/>
  <c r="H22" i="34"/>
  <c r="F22" i="34"/>
  <c r="D22" i="34"/>
  <c r="E22" i="34" s="1"/>
  <c r="H21" i="34"/>
  <c r="G21" i="34"/>
  <c r="F21" i="34"/>
  <c r="H20" i="34"/>
  <c r="H19" i="34"/>
  <c r="H18" i="34"/>
  <c r="D13" i="34"/>
  <c r="E13" i="34" s="1"/>
  <c r="E12" i="34"/>
  <c r="G18" i="36"/>
  <c r="F18" i="36" s="1"/>
  <c r="G17" i="36"/>
  <c r="F17" i="36" s="1"/>
  <c r="D13" i="36"/>
  <c r="E13" i="36"/>
  <c r="D14" i="36"/>
  <c r="E14" i="36" s="1"/>
  <c r="D15" i="36"/>
  <c r="E15" i="36" s="1"/>
  <c r="D16" i="36"/>
  <c r="E16" i="36" s="1"/>
  <c r="D19" i="36"/>
  <c r="E19" i="36"/>
  <c r="G12" i="36"/>
  <c r="H11" i="36"/>
  <c r="D11" i="36" s="1"/>
  <c r="E11" i="36" s="1"/>
  <c r="H10" i="36"/>
  <c r="H17" i="36" s="1"/>
  <c r="G3" i="36"/>
  <c r="F3" i="36" s="1"/>
  <c r="G39" i="35"/>
  <c r="H39" i="35" s="1"/>
  <c r="H38" i="35"/>
  <c r="D38" i="35" s="1"/>
  <c r="E38" i="35" s="1"/>
  <c r="H37" i="35"/>
  <c r="D37" i="35" s="1"/>
  <c r="E37" i="35" s="1"/>
  <c r="F37" i="35"/>
  <c r="F38" i="35"/>
  <c r="G5" i="35"/>
  <c r="D5" i="35" s="1"/>
  <c r="H74" i="35"/>
  <c r="G74" i="35"/>
  <c r="F74" i="35" s="1"/>
  <c r="H72" i="35"/>
  <c r="G72" i="35"/>
  <c r="F72" i="35" s="1"/>
  <c r="H73" i="35"/>
  <c r="H71" i="35"/>
  <c r="G73" i="35"/>
  <c r="G71" i="35"/>
  <c r="F71" i="35" s="1"/>
  <c r="H70" i="35"/>
  <c r="H69" i="35"/>
  <c r="F70" i="35"/>
  <c r="G69" i="35"/>
  <c r="F69" i="35" s="1"/>
  <c r="H68" i="35"/>
  <c r="G68" i="35"/>
  <c r="F68" i="35" s="1"/>
  <c r="E97" i="35"/>
  <c r="K92" i="35"/>
  <c r="K94" i="35" s="1"/>
  <c r="M94" i="35" s="1"/>
  <c r="G91" i="35"/>
  <c r="G88" i="35"/>
  <c r="K88" i="35" s="1"/>
  <c r="K87" i="35"/>
  <c r="K89" i="35" s="1"/>
  <c r="M88" i="35" s="1"/>
  <c r="G86" i="35"/>
  <c r="H82" i="35"/>
  <c r="K82" i="35" s="1"/>
  <c r="H81" i="35"/>
  <c r="G81" i="35"/>
  <c r="M29" i="36"/>
  <c r="G32" i="36"/>
  <c r="G42" i="36" s="1"/>
  <c r="H32" i="36"/>
  <c r="K34" i="36" s="1"/>
  <c r="H35" i="36"/>
  <c r="K35" i="36" s="1"/>
  <c r="G34" i="36"/>
  <c r="H34" i="36"/>
  <c r="M35" i="36"/>
  <c r="E38" i="36"/>
  <c r="E39" i="36"/>
  <c r="K41" i="36" s="1"/>
  <c r="G48" i="36"/>
  <c r="H48" i="36"/>
  <c r="K57" i="36"/>
  <c r="E59" i="36"/>
  <c r="E60" i="36"/>
  <c r="G69" i="36"/>
  <c r="H69" i="36"/>
  <c r="H70" i="36"/>
  <c r="G71" i="36"/>
  <c r="G73" i="36"/>
  <c r="H73" i="36"/>
  <c r="H74" i="36"/>
  <c r="E77" i="36"/>
  <c r="E78" i="36"/>
  <c r="K80" i="36"/>
  <c r="F67" i="35"/>
  <c r="D67" i="35"/>
  <c r="E67" i="35" s="1"/>
  <c r="D60" i="35"/>
  <c r="E60" i="35" s="1"/>
  <c r="F60" i="35"/>
  <c r="D59" i="35"/>
  <c r="E59" i="35" s="1"/>
  <c r="F59" i="35"/>
  <c r="D58" i="35"/>
  <c r="E58" i="35" s="1"/>
  <c r="F58" i="35"/>
  <c r="F57" i="35"/>
  <c r="F56" i="35"/>
  <c r="F51" i="35"/>
  <c r="D49" i="35"/>
  <c r="E49" i="35" s="1"/>
  <c r="F49" i="35"/>
  <c r="D48" i="35"/>
  <c r="E48" i="35" s="1"/>
  <c r="F48" i="35"/>
  <c r="D47" i="35"/>
  <c r="E47" i="35" s="1"/>
  <c r="F47" i="35"/>
  <c r="D46" i="35"/>
  <c r="E46" i="35" s="1"/>
  <c r="F46" i="35"/>
  <c r="D45" i="35"/>
  <c r="E45" i="35" s="1"/>
  <c r="F45" i="35"/>
  <c r="D44" i="35"/>
  <c r="E44" i="35" s="1"/>
  <c r="F44" i="35"/>
  <c r="F43" i="35"/>
  <c r="F4" i="19"/>
  <c r="F5" i="19"/>
  <c r="F6" i="19"/>
  <c r="F8" i="19"/>
  <c r="F9" i="19"/>
  <c r="F10" i="19"/>
  <c r="F11" i="19"/>
  <c r="F12" i="19"/>
  <c r="F13" i="19"/>
  <c r="F14" i="19"/>
  <c r="D4" i="19"/>
  <c r="E4" i="19" s="1"/>
  <c r="D5" i="19"/>
  <c r="E5" i="19" s="1"/>
  <c r="D6" i="19"/>
  <c r="E6" i="19" s="1"/>
  <c r="D8" i="19"/>
  <c r="E8" i="19" s="1"/>
  <c r="D9" i="19"/>
  <c r="E9" i="19" s="1"/>
  <c r="D10" i="19"/>
  <c r="E10" i="19" s="1"/>
  <c r="D11" i="19"/>
  <c r="E11" i="19" s="1"/>
  <c r="D12" i="19"/>
  <c r="E12" i="19" s="1"/>
  <c r="D13" i="19"/>
  <c r="E13" i="19" s="1"/>
  <c r="D14" i="19"/>
  <c r="E14" i="19" s="1"/>
  <c r="G7" i="19"/>
  <c r="F7" i="19" s="1"/>
  <c r="F3" i="19"/>
  <c r="K36" i="36" l="1"/>
  <c r="L37" i="36" s="1"/>
  <c r="D57" i="35"/>
  <c r="E57" i="35" s="1"/>
  <c r="I63" i="35"/>
  <c r="I62" i="35"/>
  <c r="K99" i="35"/>
  <c r="M99" i="35"/>
  <c r="M37" i="30"/>
  <c r="K81" i="35"/>
  <c r="H83" i="35"/>
  <c r="K83" i="35" s="1"/>
  <c r="K100" i="35" s="1"/>
  <c r="L95" i="35"/>
  <c r="D51" i="35"/>
  <c r="E51" i="35" s="1"/>
  <c r="I53" i="35"/>
  <c r="D7" i="19"/>
  <c r="E7" i="19" s="1"/>
  <c r="K75" i="36"/>
  <c r="M75" i="36" s="1"/>
  <c r="H12" i="36"/>
  <c r="D12" i="36" s="1"/>
  <c r="E12" i="36" s="1"/>
  <c r="F12" i="36"/>
  <c r="D21" i="34"/>
  <c r="E21" i="34" s="1"/>
  <c r="I71" i="36"/>
  <c r="K71" i="36" s="1"/>
  <c r="D23" i="34"/>
  <c r="E23" i="34" s="1"/>
  <c r="I50" i="36"/>
  <c r="K50" i="36" s="1"/>
  <c r="K63" i="36" s="1"/>
  <c r="H78" i="36"/>
  <c r="H81" i="36" s="1"/>
  <c r="D10" i="36"/>
  <c r="E10" i="36" s="1"/>
  <c r="D17" i="36"/>
  <c r="E17" i="36" s="1"/>
  <c r="H18" i="36"/>
  <c r="D18" i="36" s="1"/>
  <c r="E18" i="36" s="1"/>
  <c r="H3" i="36"/>
  <c r="D3" i="36" s="1"/>
  <c r="D73" i="35"/>
  <c r="E73" i="35" s="1"/>
  <c r="D56" i="35"/>
  <c r="E56" i="35" s="1"/>
  <c r="F5" i="35"/>
  <c r="D43" i="35"/>
  <c r="E43" i="35" s="1"/>
  <c r="I52" i="35"/>
  <c r="F39" i="35"/>
  <c r="D71" i="35"/>
  <c r="E71" i="35" s="1"/>
  <c r="D70" i="35"/>
  <c r="E70" i="35" s="1"/>
  <c r="F73" i="35"/>
  <c r="D8" i="30"/>
  <c r="E8" i="30" s="1"/>
  <c r="H25" i="30"/>
  <c r="D25" i="30" s="1"/>
  <c r="E25" i="30" s="1"/>
  <c r="F25" i="30"/>
  <c r="H41" i="30"/>
  <c r="D14" i="30"/>
  <c r="E14" i="30" s="1"/>
  <c r="D6" i="30"/>
  <c r="E6" i="30" s="1"/>
  <c r="D24" i="30"/>
  <c r="E24" i="30" s="1"/>
  <c r="H3" i="30"/>
  <c r="D23" i="30"/>
  <c r="E23" i="30" s="1"/>
  <c r="H48" i="30"/>
  <c r="G41" i="30"/>
  <c r="H43" i="30"/>
  <c r="H42" i="30"/>
  <c r="H55" i="30"/>
  <c r="M57" i="30" s="1"/>
  <c r="G61" i="30"/>
  <c r="H68" i="30"/>
  <c r="G47" i="30"/>
  <c r="H47" i="30"/>
  <c r="H69" i="30"/>
  <c r="G54" i="30"/>
  <c r="D74" i="35"/>
  <c r="E74" i="35" s="1"/>
  <c r="G100" i="35"/>
  <c r="D69" i="35"/>
  <c r="E69" i="35" s="1"/>
  <c r="D18" i="34"/>
  <c r="E18" i="34" s="1"/>
  <c r="D19" i="34"/>
  <c r="E19" i="34" s="1"/>
  <c r="D20" i="34"/>
  <c r="E20" i="34" s="1"/>
  <c r="M71" i="36"/>
  <c r="H60" i="36"/>
  <c r="M62" i="36" s="1"/>
  <c r="D72" i="35"/>
  <c r="E72" i="35" s="1"/>
  <c r="D68" i="35"/>
  <c r="E68" i="35" s="1"/>
  <c r="K62" i="36"/>
  <c r="G63" i="36"/>
  <c r="M80" i="36"/>
  <c r="G81" i="36"/>
  <c r="H39" i="36"/>
  <c r="M41" i="36"/>
  <c r="M42" i="36" s="1"/>
  <c r="D3" i="19"/>
  <c r="E3" i="19" s="1"/>
  <c r="M81" i="36" l="1"/>
  <c r="H76" i="30"/>
  <c r="H75" i="30"/>
  <c r="K81" i="36"/>
  <c r="M50" i="36"/>
  <c r="H63" i="36"/>
  <c r="L76" i="36"/>
  <c r="H7" i="36" s="1"/>
  <c r="D7" i="36" s="1"/>
  <c r="E7" i="36" s="1"/>
  <c r="L58" i="36"/>
  <c r="P54" i="36" s="1"/>
  <c r="M57" i="36"/>
  <c r="M63" i="36" s="1"/>
  <c r="K42" i="36"/>
  <c r="M44" i="30"/>
  <c r="K71" i="30"/>
  <c r="M71" i="30" s="1"/>
  <c r="M50" i="30"/>
  <c r="G73" i="30"/>
  <c r="H73" i="30"/>
  <c r="M83" i="35"/>
  <c r="M100" i="35" s="1"/>
  <c r="E29" i="22"/>
  <c r="M73" i="30" l="1"/>
  <c r="D14" i="31"/>
  <c r="E14" i="31" s="1"/>
  <c r="E38" i="22"/>
  <c r="H6" i="18"/>
  <c r="E6" i="18" l="1"/>
  <c r="D6" i="18"/>
  <c r="D5" i="20"/>
  <c r="D4" i="20"/>
  <c r="D3" i="20"/>
  <c r="D2" i="20"/>
  <c r="C7" i="5" l="1"/>
  <c r="R40" i="5" l="1"/>
  <c r="S40" i="5" s="1"/>
  <c r="G4" i="11"/>
  <c r="D5" i="11"/>
  <c r="D11" i="12" l="1"/>
  <c r="G11" i="12" s="1"/>
  <c r="G12" i="12"/>
  <c r="G10" i="12"/>
  <c r="F10" i="12"/>
  <c r="D31" i="12"/>
  <c r="D5" i="12"/>
  <c r="G5" i="12" s="1"/>
  <c r="T61" i="12"/>
  <c r="G61" i="12"/>
  <c r="U61" i="12" s="1"/>
  <c r="V61" i="12" s="1"/>
  <c r="R60" i="12"/>
  <c r="S60" i="12" s="1"/>
  <c r="T60" i="12" s="1"/>
  <c r="G60" i="12"/>
  <c r="R59" i="12"/>
  <c r="S59" i="12" s="1"/>
  <c r="T59" i="12" s="1"/>
  <c r="G59" i="12"/>
  <c r="R58" i="12"/>
  <c r="S58" i="12" s="1"/>
  <c r="T58" i="12" s="1"/>
  <c r="C58" i="12"/>
  <c r="G58" i="12" s="1"/>
  <c r="R57" i="12"/>
  <c r="S57" i="12" s="1"/>
  <c r="T57" i="12" s="1"/>
  <c r="G57" i="12"/>
  <c r="H53" i="12"/>
  <c r="I53" i="12" s="1"/>
  <c r="J53" i="12" s="1"/>
  <c r="D43" i="12"/>
  <c r="F44" i="12" s="1"/>
  <c r="D36" i="12"/>
  <c r="F37" i="12" s="1"/>
  <c r="G32" i="12"/>
  <c r="D29" i="12"/>
  <c r="F30" i="12" s="1"/>
  <c r="G25" i="12"/>
  <c r="D24" i="12"/>
  <c r="D22" i="12"/>
  <c r="G23" i="12" s="1"/>
  <c r="D18" i="12"/>
  <c r="D17" i="12"/>
  <c r="G19" i="12" s="1"/>
  <c r="D16" i="12"/>
  <c r="G17" i="12" s="1"/>
  <c r="G6" i="12"/>
  <c r="G4" i="12"/>
  <c r="F4" i="12"/>
  <c r="G5" i="11"/>
  <c r="D25" i="9"/>
  <c r="T55" i="11"/>
  <c r="G55" i="11"/>
  <c r="U55" i="11" s="1"/>
  <c r="V55" i="11" s="1"/>
  <c r="R54" i="11"/>
  <c r="S54" i="11" s="1"/>
  <c r="T54" i="11" s="1"/>
  <c r="G54" i="11"/>
  <c r="R53" i="11"/>
  <c r="S53" i="11" s="1"/>
  <c r="T53" i="11" s="1"/>
  <c r="G53" i="11"/>
  <c r="R52" i="11"/>
  <c r="S52" i="11" s="1"/>
  <c r="T52" i="11" s="1"/>
  <c r="C52" i="11"/>
  <c r="G52" i="11" s="1"/>
  <c r="R51" i="11"/>
  <c r="S51" i="11" s="1"/>
  <c r="T51" i="11" s="1"/>
  <c r="G51" i="11"/>
  <c r="H47" i="11"/>
  <c r="I47" i="11" s="1"/>
  <c r="J47" i="11" s="1"/>
  <c r="D37" i="11"/>
  <c r="G39" i="11" s="1"/>
  <c r="D30" i="11"/>
  <c r="F31" i="11" s="1"/>
  <c r="G26" i="11"/>
  <c r="D25" i="11"/>
  <c r="D23" i="11"/>
  <c r="G24" i="11" s="1"/>
  <c r="G19" i="11"/>
  <c r="D18" i="11"/>
  <c r="D16" i="11"/>
  <c r="D12" i="11"/>
  <c r="D11" i="11"/>
  <c r="G13" i="11" s="1"/>
  <c r="D10" i="11"/>
  <c r="G11" i="11" s="1"/>
  <c r="G6" i="11"/>
  <c r="F4" i="11"/>
  <c r="D18" i="9"/>
  <c r="D5" i="9"/>
  <c r="G18" i="11" l="1"/>
  <c r="U51" i="11"/>
  <c r="V51" i="11" s="1"/>
  <c r="F23" i="12"/>
  <c r="G37" i="12"/>
  <c r="L39" i="12" s="1"/>
  <c r="F24" i="11"/>
  <c r="G25" i="11"/>
  <c r="U54" i="11"/>
  <c r="V54" i="11" s="1"/>
  <c r="L27" i="11"/>
  <c r="G44" i="12"/>
  <c r="F11" i="11"/>
  <c r="L13" i="12"/>
  <c r="F17" i="11"/>
  <c r="G17" i="11"/>
  <c r="L20" i="11" s="1"/>
  <c r="G30" i="12"/>
  <c r="G12" i="11"/>
  <c r="L14" i="11" s="1"/>
  <c r="G24" i="12"/>
  <c r="L26" i="12" s="1"/>
  <c r="U53" i="11"/>
  <c r="V53" i="11" s="1"/>
  <c r="G45" i="12"/>
  <c r="G18" i="12"/>
  <c r="U52" i="11"/>
  <c r="V52" i="11" s="1"/>
  <c r="U60" i="12"/>
  <c r="V60" i="12" s="1"/>
  <c r="U59" i="12"/>
  <c r="V59" i="12" s="1"/>
  <c r="U58" i="12"/>
  <c r="V58" i="12" s="1"/>
  <c r="U57" i="12"/>
  <c r="V57" i="12" s="1"/>
  <c r="G31" i="12"/>
  <c r="F17" i="12"/>
  <c r="F49" i="12" s="1"/>
  <c r="L7" i="12"/>
  <c r="L7" i="11"/>
  <c r="G38" i="11"/>
  <c r="J41" i="11" s="1"/>
  <c r="L41" i="11" s="1"/>
  <c r="F38" i="11"/>
  <c r="G31" i="11"/>
  <c r="L33" i="11" s="1"/>
  <c r="F43" i="11" l="1"/>
  <c r="L33" i="12"/>
  <c r="G49" i="12"/>
  <c r="L20" i="12"/>
  <c r="J47" i="12"/>
  <c r="L47" i="12" s="1"/>
  <c r="L49" i="12"/>
  <c r="N49" i="12" s="1"/>
  <c r="L43" i="11"/>
  <c r="N43" i="11" s="1"/>
  <c r="G43" i="11"/>
  <c r="D30" i="7" l="1"/>
  <c r="G30" i="7" s="1"/>
  <c r="N30" i="7"/>
  <c r="R30" i="7"/>
  <c r="S30" i="7" s="1"/>
  <c r="T30" i="7" s="1"/>
  <c r="R36" i="7"/>
  <c r="D36" i="7"/>
  <c r="G36" i="7" s="1"/>
  <c r="U30" i="7" l="1"/>
  <c r="V30" i="7" s="1"/>
  <c r="S36" i="7"/>
  <c r="D12" i="9"/>
  <c r="T36" i="7" l="1"/>
  <c r="U36" i="7" s="1"/>
  <c r="V36" i="7" s="1"/>
  <c r="C16" i="7"/>
  <c r="C14" i="7"/>
  <c r="R38" i="5" l="1"/>
  <c r="S38" i="5" s="1"/>
  <c r="T38" i="5" s="1"/>
  <c r="C38" i="5"/>
  <c r="G38" i="5" s="1"/>
  <c r="R4" i="5"/>
  <c r="K44" i="5"/>
  <c r="O44" i="5" s="1"/>
  <c r="G36" i="5"/>
  <c r="R36" i="5"/>
  <c r="S36" i="5" s="1"/>
  <c r="T36" i="5" s="1"/>
  <c r="M44" i="5"/>
  <c r="N44" i="5" s="1"/>
  <c r="U38" i="5" l="1"/>
  <c r="V38" i="5" s="1"/>
  <c r="U36" i="5"/>
  <c r="V36" i="5" s="1"/>
  <c r="C25" i="7" l="1"/>
  <c r="C24" i="7"/>
  <c r="C15" i="7" l="1"/>
  <c r="R41" i="5"/>
  <c r="S41" i="5" s="1"/>
  <c r="T41" i="5" s="1"/>
  <c r="G41" i="5"/>
  <c r="C7" i="6"/>
  <c r="T40" i="5"/>
  <c r="C40" i="5"/>
  <c r="G40" i="5" s="1"/>
  <c r="U41" i="5" l="1"/>
  <c r="V41" i="5" s="1"/>
  <c r="U40" i="5"/>
  <c r="V40" i="5" s="1"/>
  <c r="R53" i="9" l="1"/>
  <c r="S53" i="9" s="1"/>
  <c r="T53" i="9" s="1"/>
  <c r="G53" i="9"/>
  <c r="R35" i="7"/>
  <c r="G35" i="7"/>
  <c r="N35" i="7"/>
  <c r="G12" i="7"/>
  <c r="R12" i="7"/>
  <c r="S12" i="7" s="1"/>
  <c r="T12" i="7" s="1"/>
  <c r="G15" i="7"/>
  <c r="R15" i="7"/>
  <c r="S15" i="7" s="1"/>
  <c r="T15" i="7" s="1"/>
  <c r="G55" i="9"/>
  <c r="T55" i="9"/>
  <c r="C52" i="9"/>
  <c r="R54" i="9"/>
  <c r="S54" i="9" s="1"/>
  <c r="T54" i="9" s="1"/>
  <c r="G54" i="9"/>
  <c r="R52" i="9"/>
  <c r="S52" i="9" s="1"/>
  <c r="T52" i="9" s="1"/>
  <c r="G52" i="9"/>
  <c r="R51" i="9"/>
  <c r="S51" i="9" s="1"/>
  <c r="T51" i="9" s="1"/>
  <c r="G51" i="9"/>
  <c r="S35" i="7" l="1"/>
  <c r="T35" i="7"/>
  <c r="U52" i="9"/>
  <c r="V52" i="9" s="1"/>
  <c r="U53" i="9"/>
  <c r="V53" i="9" s="1"/>
  <c r="U35" i="7"/>
  <c r="V35" i="7" s="1"/>
  <c r="U12" i="7"/>
  <c r="U15" i="7"/>
  <c r="V15" i="7" s="1"/>
  <c r="U55" i="9"/>
  <c r="V55" i="9" s="1"/>
  <c r="U54" i="9"/>
  <c r="V54" i="9" s="1"/>
  <c r="U51" i="9"/>
  <c r="V51" i="9" s="1"/>
  <c r="R8" i="6"/>
  <c r="R8" i="5"/>
  <c r="H47" i="9" l="1"/>
  <c r="I47" i="9" s="1"/>
  <c r="J47" i="9" s="1"/>
  <c r="D37" i="9" l="1"/>
  <c r="F38" i="9" s="1"/>
  <c r="D30" i="9"/>
  <c r="G31" i="9" s="1"/>
  <c r="L33" i="9" s="1"/>
  <c r="G26" i="9"/>
  <c r="D23" i="9"/>
  <c r="G24" i="9" s="1"/>
  <c r="G19" i="9"/>
  <c r="D16" i="9"/>
  <c r="G18" i="9" s="1"/>
  <c r="D11" i="9"/>
  <c r="D10" i="9"/>
  <c r="G12" i="9" s="1"/>
  <c r="G6" i="9"/>
  <c r="G5" i="9"/>
  <c r="G4" i="9"/>
  <c r="F4" i="9"/>
  <c r="R34" i="7"/>
  <c r="S34" i="7" s="1"/>
  <c r="T34" i="7" s="1"/>
  <c r="G34" i="7"/>
  <c r="R33" i="7"/>
  <c r="N33" i="7"/>
  <c r="G33" i="7"/>
  <c r="I20" i="7"/>
  <c r="G16" i="7"/>
  <c r="G14" i="7"/>
  <c r="R32" i="7"/>
  <c r="N32" i="7"/>
  <c r="D32" i="7"/>
  <c r="G32" i="7" s="1"/>
  <c r="R31" i="7"/>
  <c r="N31" i="7"/>
  <c r="D31" i="7"/>
  <c r="G31" i="7" s="1"/>
  <c r="R29" i="7"/>
  <c r="N29" i="7"/>
  <c r="G29" i="7"/>
  <c r="R28" i="7"/>
  <c r="S28" i="7" s="1"/>
  <c r="T28" i="7" s="1"/>
  <c r="G28" i="7"/>
  <c r="R27" i="7"/>
  <c r="N27" i="7"/>
  <c r="G27" i="7"/>
  <c r="R26" i="7"/>
  <c r="N26" i="7"/>
  <c r="G26" i="7"/>
  <c r="R25" i="7"/>
  <c r="N25" i="7"/>
  <c r="G25" i="7"/>
  <c r="R24" i="7"/>
  <c r="N24" i="7"/>
  <c r="G24" i="7"/>
  <c r="R22" i="7"/>
  <c r="S22" i="7" s="1"/>
  <c r="T22" i="7" s="1"/>
  <c r="U22" i="7" s="1"/>
  <c r="V22" i="7" s="1"/>
  <c r="S21" i="7"/>
  <c r="T21" i="7" s="1"/>
  <c r="G21" i="7"/>
  <c r="S20" i="7"/>
  <c r="T20" i="7" s="1"/>
  <c r="G20" i="7"/>
  <c r="S19" i="7"/>
  <c r="T19" i="7" s="1"/>
  <c r="G19" i="7"/>
  <c r="S18" i="7"/>
  <c r="T18" i="7" s="1"/>
  <c r="G18" i="7"/>
  <c r="R17" i="7"/>
  <c r="S17" i="7" s="1"/>
  <c r="T17" i="7" s="1"/>
  <c r="G17" i="7"/>
  <c r="R16" i="7"/>
  <c r="S16" i="7" s="1"/>
  <c r="T16" i="7" s="1"/>
  <c r="R14" i="7"/>
  <c r="S14" i="7" s="1"/>
  <c r="T14" i="7" s="1"/>
  <c r="R13" i="7"/>
  <c r="S13" i="7" s="1"/>
  <c r="T13" i="7" s="1"/>
  <c r="G13" i="7"/>
  <c r="R11" i="7"/>
  <c r="S11" i="7" s="1"/>
  <c r="T11" i="7" s="1"/>
  <c r="G11" i="7"/>
  <c r="R10" i="7"/>
  <c r="S10" i="7" s="1"/>
  <c r="T10" i="7" s="1"/>
  <c r="G10" i="7"/>
  <c r="R9" i="7"/>
  <c r="S9" i="7" s="1"/>
  <c r="T9" i="7" s="1"/>
  <c r="G9" i="7"/>
  <c r="S8" i="7"/>
  <c r="T8" i="7" s="1"/>
  <c r="G8" i="7"/>
  <c r="R7" i="7"/>
  <c r="S7" i="7" s="1"/>
  <c r="T7" i="7" s="1"/>
  <c r="C7" i="7"/>
  <c r="G7" i="7" s="1"/>
  <c r="R6" i="7"/>
  <c r="S6" i="7" s="1"/>
  <c r="T6" i="7" s="1"/>
  <c r="C6" i="7"/>
  <c r="G6" i="7" s="1"/>
  <c r="R5" i="7"/>
  <c r="S5" i="7" s="1"/>
  <c r="T5" i="7" s="1"/>
  <c r="C5" i="7"/>
  <c r="G5" i="7" s="1"/>
  <c r="R4" i="7"/>
  <c r="S4" i="7" s="1"/>
  <c r="T4" i="7" s="1"/>
  <c r="G4" i="7"/>
  <c r="Y2" i="7"/>
  <c r="V12" i="7" s="1"/>
  <c r="F11" i="9" l="1"/>
  <c r="G25" i="9"/>
  <c r="L27" i="9" s="1"/>
  <c r="U7" i="7"/>
  <c r="V7" i="7" s="1"/>
  <c r="G13" i="9"/>
  <c r="G11" i="9"/>
  <c r="L14" i="9" s="1"/>
  <c r="F24" i="9"/>
  <c r="F31" i="9"/>
  <c r="L7" i="9"/>
  <c r="U21" i="7"/>
  <c r="V21" i="7" s="1"/>
  <c r="F17" i="9"/>
  <c r="G38" i="9"/>
  <c r="G39" i="9"/>
  <c r="G17" i="9"/>
  <c r="L20" i="9" s="1"/>
  <c r="U34" i="7"/>
  <c r="V34" i="7" s="1"/>
  <c r="S33" i="7"/>
  <c r="T33" i="7" s="1"/>
  <c r="U33" i="7" s="1"/>
  <c r="V33" i="7" s="1"/>
  <c r="S29" i="7"/>
  <c r="T29" i="7" s="1"/>
  <c r="U29" i="7" s="1"/>
  <c r="V29" i="7" s="1"/>
  <c r="S24" i="7"/>
  <c r="T24" i="7" s="1"/>
  <c r="U24" i="7" s="1"/>
  <c r="V24" i="7" s="1"/>
  <c r="S32" i="7"/>
  <c r="T32" i="7" s="1"/>
  <c r="S31" i="7"/>
  <c r="T31" i="7" s="1"/>
  <c r="S27" i="7"/>
  <c r="T27" i="7" s="1"/>
  <c r="U27" i="7" s="1"/>
  <c r="V27" i="7" s="1"/>
  <c r="U19" i="7"/>
  <c r="V19" i="7" s="1"/>
  <c r="U10" i="7"/>
  <c r="V10" i="7" s="1"/>
  <c r="U14" i="7"/>
  <c r="V14" i="7" s="1"/>
  <c r="U16" i="7"/>
  <c r="V16" i="7" s="1"/>
  <c r="U13" i="7"/>
  <c r="V13" i="7" s="1"/>
  <c r="U11" i="7"/>
  <c r="V11" i="7" s="1"/>
  <c r="U28" i="7"/>
  <c r="V28" i="7" s="1"/>
  <c r="U4" i="7"/>
  <c r="V4" i="7" s="1"/>
  <c r="U5" i="7"/>
  <c r="V5" i="7" s="1"/>
  <c r="U6" i="7"/>
  <c r="V6" i="7" s="1"/>
  <c r="U18" i="7"/>
  <c r="V18" i="7" s="1"/>
  <c r="S25" i="7"/>
  <c r="T25" i="7" s="1"/>
  <c r="U25" i="7" s="1"/>
  <c r="V25" i="7" s="1"/>
  <c r="S26" i="7"/>
  <c r="T26" i="7" s="1"/>
  <c r="U26" i="7" s="1"/>
  <c r="U17" i="7"/>
  <c r="V17" i="7" s="1"/>
  <c r="U8" i="7"/>
  <c r="V8" i="7" s="1"/>
  <c r="U9" i="7"/>
  <c r="V9" i="7" s="1"/>
  <c r="U20" i="7"/>
  <c r="V20" i="7" s="1"/>
  <c r="C10" i="6"/>
  <c r="G10" i="6" s="1"/>
  <c r="R30" i="6"/>
  <c r="N30" i="6"/>
  <c r="D30" i="6"/>
  <c r="G30" i="6" s="1"/>
  <c r="R29" i="6"/>
  <c r="N29" i="6"/>
  <c r="D29" i="6"/>
  <c r="G29" i="6" s="1"/>
  <c r="R28" i="6"/>
  <c r="N28" i="6"/>
  <c r="G28" i="6"/>
  <c r="R27" i="6"/>
  <c r="S27" i="6" s="1"/>
  <c r="T27" i="6" s="1"/>
  <c r="G27" i="6"/>
  <c r="R26" i="6"/>
  <c r="N26" i="6"/>
  <c r="G26" i="6"/>
  <c r="R25" i="6"/>
  <c r="N25" i="6"/>
  <c r="G25" i="6"/>
  <c r="R24" i="6"/>
  <c r="N24" i="6"/>
  <c r="G24" i="6"/>
  <c r="R23" i="6"/>
  <c r="N23" i="6"/>
  <c r="C23" i="6"/>
  <c r="G23" i="6" s="1"/>
  <c r="R21" i="6"/>
  <c r="S21" i="6" s="1"/>
  <c r="T21" i="6" s="1"/>
  <c r="U21" i="6" s="1"/>
  <c r="V21" i="6" s="1"/>
  <c r="S20" i="6"/>
  <c r="T20" i="6" s="1"/>
  <c r="G20" i="6"/>
  <c r="S19" i="6"/>
  <c r="T19" i="6" s="1"/>
  <c r="G19" i="6"/>
  <c r="S18" i="6"/>
  <c r="T18" i="6" s="1"/>
  <c r="G18" i="6"/>
  <c r="S17" i="6"/>
  <c r="T17" i="6" s="1"/>
  <c r="G17" i="6"/>
  <c r="R16" i="6"/>
  <c r="S16" i="6" s="1"/>
  <c r="T16" i="6" s="1"/>
  <c r="C16" i="6"/>
  <c r="G16" i="6" s="1"/>
  <c r="R15" i="6"/>
  <c r="S15" i="6" s="1"/>
  <c r="T15" i="6" s="1"/>
  <c r="G15" i="6"/>
  <c r="R14" i="6"/>
  <c r="S14" i="6" s="1"/>
  <c r="T14" i="6" s="1"/>
  <c r="D14" i="6"/>
  <c r="G14" i="6" s="1"/>
  <c r="R13" i="6"/>
  <c r="S13" i="6" s="1"/>
  <c r="T13" i="6" s="1"/>
  <c r="G13" i="6"/>
  <c r="R12" i="6"/>
  <c r="S12" i="6" s="1"/>
  <c r="T12" i="6" s="1"/>
  <c r="G12" i="6"/>
  <c r="R11" i="6"/>
  <c r="S11" i="6" s="1"/>
  <c r="T11" i="6" s="1"/>
  <c r="G11" i="6"/>
  <c r="R10" i="6"/>
  <c r="S10" i="6" s="1"/>
  <c r="T10" i="6" s="1"/>
  <c r="R9" i="6"/>
  <c r="S9" i="6" s="1"/>
  <c r="T9" i="6" s="1"/>
  <c r="G9" i="6"/>
  <c r="S8" i="6"/>
  <c r="T8" i="6" s="1"/>
  <c r="G8" i="6"/>
  <c r="R7" i="6"/>
  <c r="S7" i="6" s="1"/>
  <c r="T7" i="6" s="1"/>
  <c r="G7" i="6"/>
  <c r="R6" i="6"/>
  <c r="S6" i="6" s="1"/>
  <c r="T6" i="6" s="1"/>
  <c r="C6" i="6"/>
  <c r="G6" i="6" s="1"/>
  <c r="R5" i="6"/>
  <c r="S5" i="6" s="1"/>
  <c r="T5" i="6" s="1"/>
  <c r="C5" i="6"/>
  <c r="G5" i="6" s="1"/>
  <c r="R4" i="6"/>
  <c r="G4" i="6"/>
  <c r="Y2" i="6"/>
  <c r="Y2" i="5"/>
  <c r="R24" i="5"/>
  <c r="S24" i="5" s="1"/>
  <c r="T24" i="5" s="1"/>
  <c r="N28" i="5"/>
  <c r="S23" i="5"/>
  <c r="T23" i="5" s="1"/>
  <c r="G23" i="5"/>
  <c r="S22" i="5"/>
  <c r="T22" i="5" s="1"/>
  <c r="G22" i="5"/>
  <c r="S21" i="5"/>
  <c r="T21" i="5" s="1"/>
  <c r="G21" i="5"/>
  <c r="S20" i="5"/>
  <c r="T20" i="5" s="1"/>
  <c r="G20" i="5"/>
  <c r="R19" i="5"/>
  <c r="S19" i="5" s="1"/>
  <c r="T19" i="5" s="1"/>
  <c r="C19" i="5"/>
  <c r="G19" i="5" s="1"/>
  <c r="R33" i="5"/>
  <c r="N33" i="5"/>
  <c r="D33" i="5"/>
  <c r="G33" i="5" s="1"/>
  <c r="R32" i="5"/>
  <c r="N32" i="5"/>
  <c r="D32" i="5"/>
  <c r="G32" i="5" s="1"/>
  <c r="R31" i="5"/>
  <c r="N31" i="5"/>
  <c r="G31" i="5"/>
  <c r="R30" i="5"/>
  <c r="S30" i="5" s="1"/>
  <c r="T30" i="5" s="1"/>
  <c r="G30" i="5"/>
  <c r="R18" i="5"/>
  <c r="S18" i="5" s="1"/>
  <c r="T18" i="5" s="1"/>
  <c r="G18" i="5"/>
  <c r="R17" i="5"/>
  <c r="S17" i="5" s="1"/>
  <c r="T17" i="5" s="1"/>
  <c r="G17" i="5"/>
  <c r="R29" i="5"/>
  <c r="N29" i="5"/>
  <c r="G29" i="5"/>
  <c r="R28" i="5"/>
  <c r="G28" i="5"/>
  <c r="S9" i="5"/>
  <c r="T9" i="5" s="1"/>
  <c r="G9" i="5"/>
  <c r="S8" i="5"/>
  <c r="T8" i="5" s="1"/>
  <c r="G8" i="5"/>
  <c r="R11" i="5"/>
  <c r="S11" i="5" s="1"/>
  <c r="T11" i="5" s="1"/>
  <c r="G11" i="5"/>
  <c r="R15" i="5"/>
  <c r="S15" i="5" s="1"/>
  <c r="T15" i="5" s="1"/>
  <c r="D15" i="5"/>
  <c r="G15" i="5" s="1"/>
  <c r="R14" i="5"/>
  <c r="S14" i="5" s="1"/>
  <c r="T14" i="5" s="1"/>
  <c r="G14" i="5"/>
  <c r="R13" i="5"/>
  <c r="S13" i="5" s="1"/>
  <c r="T13" i="5" s="1"/>
  <c r="G13" i="5"/>
  <c r="R12" i="5"/>
  <c r="S12" i="5" s="1"/>
  <c r="T12" i="5" s="1"/>
  <c r="G12" i="5"/>
  <c r="R16" i="5"/>
  <c r="G16" i="5"/>
  <c r="R27" i="5"/>
  <c r="N27" i="5"/>
  <c r="G27" i="5"/>
  <c r="R26" i="5"/>
  <c r="N26" i="5"/>
  <c r="C26" i="5"/>
  <c r="G26" i="5" s="1"/>
  <c r="S4" i="5"/>
  <c r="T4" i="5" s="1"/>
  <c r="G4" i="5"/>
  <c r="R6" i="5"/>
  <c r="S6" i="5" s="1"/>
  <c r="T6" i="5" s="1"/>
  <c r="C6" i="5"/>
  <c r="G6" i="5" s="1"/>
  <c r="R7" i="5"/>
  <c r="S7" i="5" s="1"/>
  <c r="T7" i="5" s="1"/>
  <c r="G7" i="5"/>
  <c r="R5" i="5"/>
  <c r="S5" i="5" s="1"/>
  <c r="T5" i="5" s="1"/>
  <c r="C5" i="5"/>
  <c r="G5" i="5" s="1"/>
  <c r="S26" i="6" l="1"/>
  <c r="T26" i="6" s="1"/>
  <c r="S24" i="6"/>
  <c r="T24" i="6" s="1"/>
  <c r="U24" i="6" s="1"/>
  <c r="V24" i="6" s="1"/>
  <c r="S23" i="6"/>
  <c r="T23" i="6" s="1"/>
  <c r="U23" i="6" s="1"/>
  <c r="V23" i="6" s="1"/>
  <c r="U16" i="6"/>
  <c r="V16" i="6" s="1"/>
  <c r="S16" i="5"/>
  <c r="T16" i="5" s="1"/>
  <c r="U16" i="5" s="1"/>
  <c r="V16" i="5" s="1"/>
  <c r="S25" i="6"/>
  <c r="T25" i="6" s="1"/>
  <c r="S30" i="6"/>
  <c r="T30" i="6" s="1"/>
  <c r="U11" i="6"/>
  <c r="V11" i="6" s="1"/>
  <c r="S4" i="6"/>
  <c r="T4" i="6" s="1"/>
  <c r="U4" i="6" s="1"/>
  <c r="V4" i="6" s="1"/>
  <c r="F43" i="9"/>
  <c r="J41" i="9"/>
  <c r="L41" i="9" s="1"/>
  <c r="L43" i="9" s="1"/>
  <c r="N43" i="9" s="1"/>
  <c r="U25" i="6"/>
  <c r="V25" i="6" s="1"/>
  <c r="U8" i="6"/>
  <c r="V8" i="6" s="1"/>
  <c r="U7" i="6"/>
  <c r="V7" i="6" s="1"/>
  <c r="G43" i="9"/>
  <c r="V26" i="7"/>
  <c r="U32" i="7"/>
  <c r="V32" i="7" s="1"/>
  <c r="U31" i="7"/>
  <c r="V31" i="7" s="1"/>
  <c r="U19" i="6"/>
  <c r="V19" i="6" s="1"/>
  <c r="U13" i="6"/>
  <c r="V13" i="6" s="1"/>
  <c r="U5" i="6"/>
  <c r="V5" i="6" s="1"/>
  <c r="U9" i="6"/>
  <c r="V9" i="6" s="1"/>
  <c r="S28" i="6"/>
  <c r="T28" i="6" s="1"/>
  <c r="U28" i="6" s="1"/>
  <c r="V28" i="6" s="1"/>
  <c r="U27" i="6"/>
  <c r="V27" i="6" s="1"/>
  <c r="U18" i="6"/>
  <c r="V18" i="6" s="1"/>
  <c r="U12" i="6"/>
  <c r="V12" i="6" s="1"/>
  <c r="S29" i="6"/>
  <c r="T29" i="6" s="1"/>
  <c r="U10" i="6"/>
  <c r="V10" i="6" s="1"/>
  <c r="U6" i="6"/>
  <c r="V6" i="6" s="1"/>
  <c r="U15" i="6"/>
  <c r="V15" i="6" s="1"/>
  <c r="U20" i="6"/>
  <c r="V20" i="6" s="1"/>
  <c r="U14" i="6"/>
  <c r="V14" i="6" s="1"/>
  <c r="U26" i="6"/>
  <c r="V26" i="6" s="1"/>
  <c r="U17" i="6"/>
  <c r="V17" i="6" s="1"/>
  <c r="U5" i="5"/>
  <c r="V5" i="5" s="1"/>
  <c r="U24" i="5"/>
  <c r="V24" i="5" s="1"/>
  <c r="S29" i="5"/>
  <c r="S28" i="5"/>
  <c r="U18" i="5"/>
  <c r="V18" i="5" s="1"/>
  <c r="U6" i="5"/>
  <c r="V6" i="5" s="1"/>
  <c r="U19" i="5"/>
  <c r="V19" i="5" s="1"/>
  <c r="S26" i="5"/>
  <c r="U8" i="5"/>
  <c r="V8" i="5" s="1"/>
  <c r="U21" i="5"/>
  <c r="V21" i="5" s="1"/>
  <c r="U12" i="5"/>
  <c r="V12" i="5" s="1"/>
  <c r="U7" i="5"/>
  <c r="V7" i="5" s="1"/>
  <c r="U30" i="5"/>
  <c r="V30" i="5" s="1"/>
  <c r="U13" i="5"/>
  <c r="V13" i="5" s="1"/>
  <c r="U22" i="5"/>
  <c r="V22" i="5" s="1"/>
  <c r="U23" i="5"/>
  <c r="V23" i="5" s="1"/>
  <c r="U20" i="5"/>
  <c r="V20" i="5" s="1"/>
  <c r="S31" i="5"/>
  <c r="U4" i="5"/>
  <c r="V4" i="5" s="1"/>
  <c r="S33" i="5"/>
  <c r="S27" i="5"/>
  <c r="U15" i="5"/>
  <c r="V15" i="5" s="1"/>
  <c r="S32" i="5"/>
  <c r="U14" i="5"/>
  <c r="V14" i="5" s="1"/>
  <c r="U11" i="5"/>
  <c r="V11" i="5" s="1"/>
  <c r="U9" i="5"/>
  <c r="V9" i="5" s="1"/>
  <c r="U17" i="5"/>
  <c r="V17" i="5" s="1"/>
  <c r="U30" i="6" l="1"/>
  <c r="V30" i="6" s="1"/>
  <c r="U29" i="6"/>
  <c r="V29" i="6" s="1"/>
  <c r="Y24" i="5"/>
  <c r="Y21" i="6"/>
  <c r="T26" i="5"/>
  <c r="U26" i="5" s="1"/>
  <c r="V26" i="5" s="1"/>
  <c r="T31" i="5"/>
  <c r="U31" i="5" s="1"/>
  <c r="V31" i="5" s="1"/>
  <c r="T28" i="5"/>
  <c r="U28" i="5" s="1"/>
  <c r="T32" i="5"/>
  <c r="T27" i="5"/>
  <c r="U27" i="5" s="1"/>
  <c r="V27" i="5" s="1"/>
  <c r="T33" i="5"/>
  <c r="T29" i="5"/>
  <c r="U29" i="5" s="1"/>
  <c r="V29" i="5" s="1"/>
  <c r="U32" i="5" l="1"/>
  <c r="V32" i="5" s="1"/>
  <c r="V28" i="5"/>
  <c r="U33" i="5"/>
  <c r="V33" i="5" s="1"/>
  <c r="D39" i="35"/>
  <c r="E39" i="35" s="1"/>
  <c r="D3" i="30"/>
  <c r="E3" i="30" s="1"/>
  <c r="F5" i="30"/>
  <c r="E3" i="36"/>
  <c r="E5" i="35" l="1"/>
</calcChain>
</file>

<file path=xl/sharedStrings.xml><?xml version="1.0" encoding="utf-8"?>
<sst xmlns="http://schemas.openxmlformats.org/spreadsheetml/2006/main" count="1911" uniqueCount="501">
  <si>
    <t>Material</t>
  </si>
  <si>
    <t>Aufschlag</t>
  </si>
  <si>
    <t>Befestigung</t>
  </si>
  <si>
    <t>ML</t>
  </si>
  <si>
    <t>Konterlattung 6x8</t>
  </si>
  <si>
    <t>Material EK</t>
  </si>
  <si>
    <t>m2/h</t>
  </si>
  <si>
    <t>Dachlatttung 5x4</t>
  </si>
  <si>
    <t>Vordeckung Bauder Top TS 40</t>
  </si>
  <si>
    <t>Montage</t>
  </si>
  <si>
    <t>Herrichten</t>
  </si>
  <si>
    <t>m/h</t>
  </si>
  <si>
    <t>DWD 15mm</t>
  </si>
  <si>
    <t>Wolle 16</t>
  </si>
  <si>
    <t>Wolle 24</t>
  </si>
  <si>
    <t>Holzfaserdämmung 6cm</t>
  </si>
  <si>
    <t>Nageldichtband</t>
  </si>
  <si>
    <t>EKV-3</t>
  </si>
  <si>
    <t>Dampfdiff.offene Dachbahn</t>
  </si>
  <si>
    <t>Sonstiges</t>
  </si>
  <si>
    <t>Lochblech</t>
  </si>
  <si>
    <t>Traufblech</t>
  </si>
  <si>
    <t>Verklebung Dachstuhl</t>
  </si>
  <si>
    <t>Verklebung Wand</t>
  </si>
  <si>
    <t>m</t>
  </si>
  <si>
    <t>OSB 15mm elementiert in Halle</t>
  </si>
  <si>
    <t>Rauschalung 25</t>
  </si>
  <si>
    <t>Stk/h</t>
  </si>
  <si>
    <t>Kompriband</t>
  </si>
  <si>
    <t>Hebeanker</t>
  </si>
  <si>
    <t>Schrauben f. Sparren+Pfetten</t>
  </si>
  <si>
    <t>Kleinmaterial</t>
  </si>
  <si>
    <t>BSH Fichte sicht Gl24h</t>
  </si>
  <si>
    <t>Aufstellen</t>
  </si>
  <si>
    <t xml:space="preserve">Sparren+Pfetten Abbund </t>
  </si>
  <si>
    <t>m2</t>
  </si>
  <si>
    <t>Spatzenbr. Einf. DWD eingefr.</t>
  </si>
  <si>
    <t>Verschn.</t>
  </si>
  <si>
    <t>Mat.kosten</t>
  </si>
  <si>
    <t>Mann</t>
  </si>
  <si>
    <t>Leistung</t>
  </si>
  <si>
    <t>Eur/VE</t>
  </si>
  <si>
    <t>EP</t>
  </si>
  <si>
    <t>Mont.kost</t>
  </si>
  <si>
    <t>Windl.3-S 19mm 25cm flach</t>
  </si>
  <si>
    <t>Windl. 3-S 19mm 25cm geneigt</t>
  </si>
  <si>
    <t>Dachfl. Ged.</t>
  </si>
  <si>
    <t>Dachfl.unged.</t>
  </si>
  <si>
    <t>Abbundkosten</t>
  </si>
  <si>
    <t>PP</t>
  </si>
  <si>
    <t>m15</t>
  </si>
  <si>
    <t>m10</t>
  </si>
  <si>
    <t>m9</t>
  </si>
  <si>
    <t>m7</t>
  </si>
  <si>
    <t>WL in m</t>
  </si>
  <si>
    <t>Trauflänge</t>
  </si>
  <si>
    <t>Pultdachentlüftung inkl.Lochg</t>
  </si>
  <si>
    <t>Firstentlüft.satteldachf.inkl Lochg</t>
  </si>
  <si>
    <t>Ausgleichslattung</t>
  </si>
  <si>
    <t>Sichtschalung 24mm</t>
  </si>
  <si>
    <t>Dachfl. Unged</t>
  </si>
  <si>
    <t>Abbund Sparren+Pfetten</t>
  </si>
  <si>
    <t>Aufsparrendämmung 16cm</t>
  </si>
  <si>
    <t>Aufsparrendämmung 20cm</t>
  </si>
  <si>
    <t>Ausgleichslattung 16</t>
  </si>
  <si>
    <t>Traufbrett</t>
  </si>
  <si>
    <t>Vordachtrennung</t>
  </si>
  <si>
    <t>Hausmauer</t>
  </si>
  <si>
    <t>ca 21eur/m2</t>
  </si>
  <si>
    <t>ca 21 eur/m2</t>
  </si>
  <si>
    <t>Pultdach konvensionell</t>
  </si>
  <si>
    <t>Mittellohn</t>
  </si>
  <si>
    <t>Stunden ges</t>
  </si>
  <si>
    <t>Kosten gesamt</t>
  </si>
  <si>
    <t>Variante Eur/m2</t>
  </si>
  <si>
    <t>Pospreis</t>
  </si>
  <si>
    <t>Abbund</t>
  </si>
  <si>
    <t>m3</t>
  </si>
  <si>
    <t>Arbeit</t>
  </si>
  <si>
    <t>h/m3</t>
  </si>
  <si>
    <t>Kleinmat</t>
  </si>
  <si>
    <t>Eur/m3</t>
  </si>
  <si>
    <t>Eur/m2</t>
  </si>
  <si>
    <t>Eur</t>
  </si>
  <si>
    <t>h/m2</t>
  </si>
  <si>
    <t>Befestigungsm</t>
  </si>
  <si>
    <t>Holz</t>
  </si>
  <si>
    <t>Holzpreis</t>
  </si>
  <si>
    <t>m3/m2</t>
  </si>
  <si>
    <t>Satteldach konvensionell</t>
  </si>
  <si>
    <t>Walmdach konvensionell</t>
  </si>
  <si>
    <t>Riegelwand</t>
  </si>
  <si>
    <t>OSB</t>
  </si>
  <si>
    <t>Holzfaser</t>
  </si>
  <si>
    <t>Riegel</t>
  </si>
  <si>
    <t>Wolle</t>
  </si>
  <si>
    <t>Verkleben</t>
  </si>
  <si>
    <t>eur/m2</t>
  </si>
  <si>
    <t>Spatzenbr. Einf. DWD eingefr.+Guttex</t>
  </si>
  <si>
    <t>ca 228 eur/m2</t>
  </si>
  <si>
    <t>Hausm traufs</t>
  </si>
  <si>
    <t>ca 25,5eur/m2</t>
  </si>
  <si>
    <t>Windpapier</t>
  </si>
  <si>
    <t>Lattung 5x3</t>
  </si>
  <si>
    <t>Schal. Fass 19mm</t>
  </si>
  <si>
    <t>Flämmen Scha</t>
  </si>
  <si>
    <t>Ausgleichslattung 18</t>
  </si>
  <si>
    <t>Aufsparrendämmung 18cm</t>
  </si>
  <si>
    <t>Windverankern</t>
  </si>
  <si>
    <t>Stk</t>
  </si>
  <si>
    <t>Stulpsch Lä</t>
  </si>
  <si>
    <t>Dach ged.</t>
  </si>
  <si>
    <t>Verklebung Dachstuhl MWK</t>
  </si>
  <si>
    <t>Untersicht 3-S Pl</t>
  </si>
  <si>
    <t>mit 3M</t>
  </si>
  <si>
    <t>Konterlattung 10x10</t>
  </si>
  <si>
    <t>Ausgleichslattung 28</t>
  </si>
  <si>
    <t>Anschlagsbrett Bauder</t>
  </si>
  <si>
    <t>Spatzenbr. Doppelt ged</t>
  </si>
  <si>
    <t>Fermacell 15mm</t>
  </si>
  <si>
    <t>OSB 22</t>
  </si>
  <si>
    <t>OSB 15</t>
  </si>
  <si>
    <t>Pa</t>
  </si>
  <si>
    <t>Statische Berechnung und Werksatzplanung</t>
  </si>
  <si>
    <t>Baustellengemeinkosten</t>
  </si>
  <si>
    <t>Baustelleneinrichtung</t>
  </si>
  <si>
    <t>Räumen der Baustelle</t>
  </si>
  <si>
    <t>h</t>
  </si>
  <si>
    <t>Hebegerät Autokran inkl. Anlieferung der Materialien.</t>
  </si>
  <si>
    <t>Std.</t>
  </si>
  <si>
    <t>Baukran liefern und aufstellen und wieder Abbauen</t>
  </si>
  <si>
    <t>Baukran vorhalten</t>
  </si>
  <si>
    <t>Wo</t>
  </si>
  <si>
    <t xml:space="preserve">Kranfahrer </t>
  </si>
  <si>
    <t>Dachfanggerüst vorhalten mxWo=VE</t>
  </si>
  <si>
    <t>VE</t>
  </si>
  <si>
    <t>BML</t>
  </si>
  <si>
    <t>Facharbeiter</t>
  </si>
  <si>
    <t>eur/Std</t>
  </si>
  <si>
    <t>eur/min</t>
  </si>
  <si>
    <t>Baumeisterstd</t>
  </si>
  <si>
    <t>Lehrling</t>
  </si>
  <si>
    <t>LKW mit Hiab</t>
  </si>
  <si>
    <t>L</t>
  </si>
  <si>
    <t>S</t>
  </si>
  <si>
    <t>Ges STD</t>
  </si>
  <si>
    <t>Gesamt</t>
  </si>
  <si>
    <t>Fassadengerüst aufbauen und wieder abbauen</t>
  </si>
  <si>
    <t>Fassadengerüst vorhalten 1VE=1Wo x m2</t>
  </si>
  <si>
    <t xml:space="preserve"> Abbrucharbeiten in Regie</t>
  </si>
  <si>
    <t>Stk.</t>
  </si>
  <si>
    <t xml:space="preserve">Kontainer Anfahrt/Tausch/Abfuhr </t>
  </si>
  <si>
    <t>Abbruch und entsorgen Blech</t>
  </si>
  <si>
    <t>to</t>
  </si>
  <si>
    <t>Holz unrein-stark verunreinigt</t>
  </si>
  <si>
    <t xml:space="preserve"> Bitumen</t>
  </si>
  <si>
    <t>Holzfaserdämmplatte 6cm</t>
  </si>
  <si>
    <t>Windladen 3-S 19mm bis 25cm =b</t>
  </si>
  <si>
    <t>Lochgitter bis 15cm antrazith</t>
  </si>
  <si>
    <t>Dachdurchführung gedämmt mit einem Kasten.</t>
  </si>
  <si>
    <t>Tropfblech</t>
  </si>
  <si>
    <t>Holzsäulen BSH Fichte</t>
  </si>
  <si>
    <t>Unterfangung Firstpfette</t>
  </si>
  <si>
    <t xml:space="preserve">Riegelwandkonstruktion 16cm gedämmt </t>
  </si>
  <si>
    <t>m.außenliegender Holzfaserdämmung U-Wert Wandaufbau 0,17W/m2K</t>
  </si>
  <si>
    <t>Statische Verstärkungen in Riegelwände</t>
  </si>
  <si>
    <t>Dampfdichte Verklebung der Anschlüsse und Wände</t>
  </si>
  <si>
    <t>Öffnung in Riegelwände herstellen</t>
  </si>
  <si>
    <t>Montageschwelle</t>
  </si>
  <si>
    <t>Elektroleitungen verlegen im Sockelbereich</t>
  </si>
  <si>
    <t>Dachziegel Creaton MZ3 Tondachziegel, naturrot</t>
  </si>
  <si>
    <t>Ortgangziegel</t>
  </si>
  <si>
    <t>Firstziegel naturrot</t>
  </si>
  <si>
    <t>Firstklammer Alu rot</t>
  </si>
  <si>
    <t>Rol</t>
  </si>
  <si>
    <t>Firstgratrolle a5 lfm</t>
  </si>
  <si>
    <t>Creaton Lüfterziegel naturrot</t>
  </si>
  <si>
    <t>Std</t>
  </si>
  <si>
    <t xml:space="preserve">Verlegearbeit </t>
  </si>
  <si>
    <t>Windladenverblendung bis 25cm einteilig</t>
  </si>
  <si>
    <t>Windladenabdeckung bis 12cm</t>
  </si>
  <si>
    <t>Windladenablaufschiene  bis 25cm</t>
  </si>
  <si>
    <t>Hängerinne 33er rund</t>
  </si>
  <si>
    <t>Rinneneinlaufblech bis 33cm</t>
  </si>
  <si>
    <t>Bögen - Rohrknie 72° 100mm</t>
  </si>
  <si>
    <t>Abschlüsse - Rinnenboden rund 33er</t>
  </si>
  <si>
    <t>Rinnenkessel - StandardEinhang rund 33/100</t>
  </si>
  <si>
    <t>Ablaufrohr 100er</t>
  </si>
  <si>
    <t xml:space="preserve">Fensterbleche bis 33cm </t>
  </si>
  <si>
    <t>Kamineinfassung</t>
  </si>
  <si>
    <t>Spenglerarbeiten</t>
  </si>
  <si>
    <t>Dachdeckerarbeiten</t>
  </si>
  <si>
    <t>Balkon- Stahlträger  doppelt für Ablastung Pfette</t>
  </si>
  <si>
    <t>Flämmarbeiten 1xEKV4</t>
  </si>
  <si>
    <t>Vlies verlegen auf Bitumenbahn</t>
  </si>
  <si>
    <t>Windpapier verklebt</t>
  </si>
  <si>
    <t>Hinterlüftungslattung 5x3cm</t>
  </si>
  <si>
    <t xml:space="preserve">Fassadenschalung - Stulpschalung Lärche </t>
  </si>
  <si>
    <t xml:space="preserve">Kemperol abdichtung </t>
  </si>
  <si>
    <t>Lochgitter</t>
  </si>
  <si>
    <t>Fenster</t>
  </si>
  <si>
    <t>Lieferkosten</t>
  </si>
  <si>
    <t>Montagearbeiten inkl. Ral-Verklebung u. Befest.material</t>
  </si>
  <si>
    <t>Arbeitszeit</t>
  </si>
  <si>
    <t>Montagematerial</t>
  </si>
  <si>
    <t>Außenwände gedämmt</t>
  </si>
  <si>
    <t>Innenwände</t>
  </si>
  <si>
    <t>Verrechnung der Leibungsausbildung</t>
  </si>
  <si>
    <t>Holzfaserdämmplatte auf Spatzenbrett</t>
  </si>
  <si>
    <t>Az Gaupe Konstruktion</t>
  </si>
  <si>
    <t>Konstruktionsholz BSH Fichte sicht Gl24h</t>
  </si>
  <si>
    <t>Rauschalung 24mm Fichte</t>
  </si>
  <si>
    <t>Zwischensparrendämmung 20cm</t>
  </si>
  <si>
    <t>OSB-Platte 15mm</t>
  </si>
  <si>
    <t>Konterlattung 6x8cm</t>
  </si>
  <si>
    <t xml:space="preserve">Dachlattung 5x4cm </t>
  </si>
  <si>
    <t xml:space="preserve">Sichtschalung 25mm n+f </t>
  </si>
  <si>
    <t>Flämmarbeit Garagendach 1xEKV4und 1xEKV5s</t>
  </si>
  <si>
    <t>Flämmarbeit Terrasse einfach</t>
  </si>
  <si>
    <t xml:space="preserve">Einlaufblech Uginox </t>
  </si>
  <si>
    <t>Flämmkeil bis 5cm</t>
  </si>
  <si>
    <t>Sichtschalung 24mm n+f natur</t>
  </si>
  <si>
    <t>3mm Bit.Dachbahn nsk</t>
  </si>
  <si>
    <t>Bauder Pir Plus 16cm</t>
  </si>
  <si>
    <t>Ausgleichslattung 16cm</t>
  </si>
  <si>
    <t>Dachlattung 4x5cm</t>
  </si>
  <si>
    <t>Anschlagsbrett für Aufdachdämmung</t>
  </si>
  <si>
    <t>Spatzenbrett doppelt gedämmt</t>
  </si>
  <si>
    <t>Windverankerung</t>
  </si>
  <si>
    <t>First Baudertec PMK</t>
  </si>
  <si>
    <t>Windladen 3-S 19mm bis 50cm =b</t>
  </si>
  <si>
    <t>Fassade</t>
  </si>
  <si>
    <t>Stulpschalung Fichte natur gehobelt</t>
  </si>
  <si>
    <t xml:space="preserve">Hinterlüftungslattung 5x3cm gedübelt </t>
  </si>
  <si>
    <t>Abbrucharbeiten und entsorgen</t>
  </si>
  <si>
    <t>Satteldachkonstruktion bis 18°DN - Holz in eigener Pos.</t>
  </si>
  <si>
    <t>Satteldachkonstruktion über 18°DN - Holz in eigener Pos.</t>
  </si>
  <si>
    <t>Pultdachkonstruktion bis 18° DN - Holz in eigener Pos.</t>
  </si>
  <si>
    <t>Pultdachkonstruktion über 18° DN - Holz in eigener Pos.</t>
  </si>
  <si>
    <t>Walmdachkonstruktion</t>
  </si>
  <si>
    <t>Konstruktionsholz BSH Fichte nicht sicht Gl24h</t>
  </si>
  <si>
    <t>Dachaufbau - Sichtdachstuhl</t>
  </si>
  <si>
    <t>Dachaufbau - Zwischensparrendämmung</t>
  </si>
  <si>
    <t>Dampfdichte Verklebung</t>
  </si>
  <si>
    <t>Vordachbereich</t>
  </si>
  <si>
    <t>gedämmter Bereich</t>
  </si>
  <si>
    <t>Ausgleichslattung 6cm</t>
  </si>
  <si>
    <t xml:space="preserve">Spatzenbrett einfach </t>
  </si>
  <si>
    <t>Dachkonstruktion</t>
  </si>
  <si>
    <t>Lohnabbund maschinell zuzüglich Werksatzplanung</t>
  </si>
  <si>
    <t>Lohnabbund händisch zuzüglich Werksatzplanung</t>
  </si>
  <si>
    <t>Satteldach Elemente</t>
  </si>
  <si>
    <t>Std ges</t>
  </si>
  <si>
    <t>EUR/m3</t>
  </si>
  <si>
    <t>Liefern LKW sepp.</t>
  </si>
  <si>
    <t>Befestigungsmaterial, Klebemat,…</t>
  </si>
  <si>
    <t>Liefern LKW sepp</t>
  </si>
  <si>
    <t>abbund eur/m2</t>
  </si>
  <si>
    <t>eur/m3</t>
  </si>
  <si>
    <t>Verladen</t>
  </si>
  <si>
    <t>Bauschutt</t>
  </si>
  <si>
    <t>Dachfanggerüst aufbauen und abbauen Regie</t>
  </si>
  <si>
    <t>Fassadengerüst An-und Abtransport in Regie</t>
  </si>
  <si>
    <t>Dachaufbau diverses</t>
  </si>
  <si>
    <t>Holzfaserdämmplatte auf Spatzenbrett b bis 24cm</t>
  </si>
  <si>
    <t>Abbund, elementieren und aufrichten der Dachkonstruktion.</t>
  </si>
  <si>
    <t xml:space="preserve"> - Abbund</t>
  </si>
  <si>
    <t xml:space="preserve"> -elementieren </t>
  </si>
  <si>
    <t xml:space="preserve"> -Aufstellen</t>
  </si>
  <si>
    <t>Holzsäulen BSH Fichte inkl. Stützenfuß</t>
  </si>
  <si>
    <t>Regiearbeitszeit</t>
  </si>
  <si>
    <t>Dachaufbau diverses- nur herrichten in der Werkstatt - Montage in Regiezeit</t>
  </si>
  <si>
    <t>Baumeisterarbeiten</t>
  </si>
  <si>
    <t>Beton C25/30</t>
  </si>
  <si>
    <t>Dachaufbau nur Material mit Verschnitt</t>
  </si>
  <si>
    <t>Vordachbereich nur Material mit Verschnitt</t>
  </si>
  <si>
    <t>Dachaufbau diverses- mit Montagearbeit</t>
  </si>
  <si>
    <t>Regiearbeiten Schremmarbeiten, anpassen Fenster</t>
  </si>
  <si>
    <t>Montagearbeit Arbeitszeit</t>
  </si>
  <si>
    <t>Innenwände undämmt 12cm eins. Beplankt</t>
  </si>
  <si>
    <t>Innenwände undämmt 16cm eins. Beplankt</t>
  </si>
  <si>
    <t>m3/m</t>
  </si>
  <si>
    <t>1m</t>
  </si>
  <si>
    <t>25m</t>
  </si>
  <si>
    <t>Innenwände gedämmt 16cm geschlossen</t>
  </si>
  <si>
    <t>Fassadenschalung Fichte natur gehobelt n+f</t>
  </si>
  <si>
    <t>Wetterschenkel  Lärche bis 24cm 4cm stark</t>
  </si>
  <si>
    <t>Scheinung in Lärche gehobelt herstellen b bis 24cm</t>
  </si>
  <si>
    <t>Firstgratlattenhalter 10Stk/Pak</t>
  </si>
  <si>
    <t>Einhängesturmklammern  250/Pak</t>
  </si>
  <si>
    <t>Schneenase rot  250/Pak</t>
  </si>
  <si>
    <t>Kommissionierung</t>
  </si>
  <si>
    <t>Frachtkostenbeitrag</t>
  </si>
  <si>
    <t>Kran je Hub</t>
  </si>
  <si>
    <t>Paletten Abnützung</t>
  </si>
  <si>
    <t>Balkonboden Lä. geh. 23mm inkl. Unterkonstruktion 6x8cm</t>
  </si>
  <si>
    <t>Sticher -Balkon-Stahlzugeisen inkl. Holz  max 1m</t>
  </si>
  <si>
    <t>Balkonboden Lä. geh. 23mm ohne UK</t>
  </si>
  <si>
    <t>Balkontrennwand</t>
  </si>
  <si>
    <t>Fassadenrinne</t>
  </si>
  <si>
    <t>Zaun</t>
  </si>
  <si>
    <t>EK</t>
  </si>
  <si>
    <t>Aufschalg</t>
  </si>
  <si>
    <t>Material:</t>
  </si>
  <si>
    <t>Befestigungsmaterial</t>
  </si>
  <si>
    <t>1Pa</t>
  </si>
  <si>
    <t>Holzrahmen Latten 6x8 liegend</t>
  </si>
  <si>
    <t>2,1lfm/m</t>
  </si>
  <si>
    <t>Bretter liegend sägerau</t>
  </si>
  <si>
    <t>3-S 19mmmm 3-S B/C Lä</t>
  </si>
  <si>
    <t>Arbeit:</t>
  </si>
  <si>
    <t>herrichten hobeln verleimen</t>
  </si>
  <si>
    <t>3Std/Stk</t>
  </si>
  <si>
    <t>zusammen bauen</t>
  </si>
  <si>
    <t>2Std/Stk</t>
  </si>
  <si>
    <t>montieren</t>
  </si>
  <si>
    <t>Maschienenstunde</t>
  </si>
  <si>
    <t>0,1Std/Stk</t>
  </si>
  <si>
    <t>Arbeit ges</t>
  </si>
  <si>
    <t>Std/m</t>
  </si>
  <si>
    <t>LKW liefern +verheben</t>
  </si>
  <si>
    <t>0,5Std/m</t>
  </si>
  <si>
    <t>Transport Bus</t>
  </si>
  <si>
    <t>Eur/Stk</t>
  </si>
  <si>
    <t>Terrassenrost</t>
  </si>
  <si>
    <t>Holzrost Lä eins ger heim</t>
  </si>
  <si>
    <t>UK Lär sägerau</t>
  </si>
  <si>
    <t>UK Latten 6x8 liegend</t>
  </si>
  <si>
    <t>Gummistreifen 1cm</t>
  </si>
  <si>
    <t>herrichten</t>
  </si>
  <si>
    <t>hobeln</t>
  </si>
  <si>
    <t>Std/m2</t>
  </si>
  <si>
    <t>Zaun:</t>
  </si>
  <si>
    <t>Stahlsäulen verz.</t>
  </si>
  <si>
    <t>1Stk/m</t>
  </si>
  <si>
    <t>Holzsäulen optional</t>
  </si>
  <si>
    <t>1,33m/m</t>
  </si>
  <si>
    <t>Latten 120x50 liegend</t>
  </si>
  <si>
    <t>2,2lfm/m</t>
  </si>
  <si>
    <t>Bretter stehend 40x80</t>
  </si>
  <si>
    <t>3,3lfm</t>
  </si>
  <si>
    <t>herrichten+elementieren</t>
  </si>
  <si>
    <t>1Std/m</t>
  </si>
  <si>
    <t>0,64Std/m</t>
  </si>
  <si>
    <t>montieren Einsensteher</t>
  </si>
  <si>
    <t>0,55Std/m</t>
  </si>
  <si>
    <t>0,45Std/m</t>
  </si>
  <si>
    <t>Eur/m</t>
  </si>
  <si>
    <t>Rinne</t>
  </si>
  <si>
    <t>nicht Höhenverstellbar!!!</t>
  </si>
  <si>
    <t>Balkonbrüstung:</t>
  </si>
  <si>
    <t>Latten 6x8 liegend</t>
  </si>
  <si>
    <t xml:space="preserve">Bretter stehend </t>
  </si>
  <si>
    <t>6Stk/m l1,33m</t>
  </si>
  <si>
    <t>Bretter liegend unten</t>
  </si>
  <si>
    <t>1,05m/m</t>
  </si>
  <si>
    <t>Nagelüberd Brett 1 Brett halbiert</t>
  </si>
  <si>
    <t>Abdeckbrett optional Lä</t>
  </si>
  <si>
    <t>BLUMENTROG</t>
  </si>
  <si>
    <t>Blumentroghalter a 80cm</t>
  </si>
  <si>
    <t>1,25Stk/m</t>
  </si>
  <si>
    <t>AZ Blumentroghalter doppelte Breite</t>
  </si>
  <si>
    <t>Brett vor Blumentroghalter</t>
  </si>
  <si>
    <t>1,1m/m</t>
  </si>
  <si>
    <t>Brett in Blumentroghalter</t>
  </si>
  <si>
    <t>Abdeckbrett in 27mm 3-S D/D</t>
  </si>
  <si>
    <t>b bis 25cm</t>
  </si>
  <si>
    <t>19mm</t>
  </si>
  <si>
    <t>2,65Std/m</t>
  </si>
  <si>
    <t>1,25Std/m</t>
  </si>
  <si>
    <t xml:space="preserve">Balkonbrüstung </t>
  </si>
  <si>
    <t>Rankhilfe</t>
  </si>
  <si>
    <t>Holzrahmen Latten 3x8 liegend</t>
  </si>
  <si>
    <t>Holzrahmen Latten 6x8 stehend</t>
  </si>
  <si>
    <t xml:space="preserve">herrichten sägerau </t>
  </si>
  <si>
    <t>4Std/Stk</t>
  </si>
  <si>
    <t>Pflazenkübel</t>
  </si>
  <si>
    <t>Befestigungsmaterial verdeckt gesch</t>
  </si>
  <si>
    <t>Rhombuslatten</t>
  </si>
  <si>
    <t>Wurzelvlies</t>
  </si>
  <si>
    <t>Lamellen</t>
  </si>
  <si>
    <t>Bretter</t>
  </si>
  <si>
    <t>Zaun in Lärche stehend gehobelt 5x4cm Latten</t>
  </si>
  <si>
    <t>Balkonboden</t>
  </si>
  <si>
    <t>Pflanzkübel</t>
  </si>
  <si>
    <t>Lamllenfassade</t>
  </si>
  <si>
    <t>Tramdecke</t>
  </si>
  <si>
    <t>Massivholzdecke</t>
  </si>
  <si>
    <t xml:space="preserve">Tramdecke 24cm gedämmt </t>
  </si>
  <si>
    <t>OSB 22mm 24cm mit Glasw. Ged. OSB 15mm</t>
  </si>
  <si>
    <t>ohne Holz!-sepp. Pos</t>
  </si>
  <si>
    <t>Decke Ortbeton</t>
  </si>
  <si>
    <t xml:space="preserve">Beton gepumpt Mischpreis ca. </t>
  </si>
  <si>
    <t>€</t>
  </si>
  <si>
    <t>Annahme Bewehrung 100kg/m3</t>
  </si>
  <si>
    <t>Bewehrung Mattenstahl</t>
  </si>
  <si>
    <t>kg</t>
  </si>
  <si>
    <t xml:space="preserve">Bewehrung Stabstahl BST550 </t>
  </si>
  <si>
    <t>Distanzstreifen</t>
  </si>
  <si>
    <t>Miete Deckenstützen 400cm für 5 Wochen</t>
  </si>
  <si>
    <t>Regie Aufdoppelung von 4m auf 4,5m</t>
  </si>
  <si>
    <t>Miete Doka-Träger für 5Wo</t>
  </si>
  <si>
    <t>Miete Dreibein+Krone für 5 Wo</t>
  </si>
  <si>
    <t>Zustellung+Abholung+Entreinigung</t>
  </si>
  <si>
    <t>Abschalmaterial , Kleinmaterial ca.</t>
  </si>
  <si>
    <t>Miete Schaltafeln für 5 Wo</t>
  </si>
  <si>
    <t>Schaltafeln 2000x500x27mm für Verschnittteile</t>
  </si>
  <si>
    <t xml:space="preserve">Bodenplatte </t>
  </si>
  <si>
    <t>Splitt 8cm - bauseits</t>
  </si>
  <si>
    <t>Bodenplatten-Dämmung inkl. Abschalung und Abdichtung</t>
  </si>
  <si>
    <t>lt Anbot vom 28.02.2024</t>
  </si>
  <si>
    <t>Beton gepumpt C25/30 XC1 GK22</t>
  </si>
  <si>
    <t>Bewehrung Matten CQS 80</t>
  </si>
  <si>
    <t>Bewehrung Stabstahl BST550</t>
  </si>
  <si>
    <t>Kleinmaterial Bindedraht, Abstandhalter, Drunterleisten</t>
  </si>
  <si>
    <t>Bodenplatte</t>
  </si>
  <si>
    <t>Einreichplanung in 3-dacher Ausführung</t>
  </si>
  <si>
    <t>Energieausweis</t>
  </si>
  <si>
    <t xml:space="preserve">Lageplan TBO-Plan </t>
  </si>
  <si>
    <t>GR, Schnitte, Ansichten, Bauansuchen, Kubaturber.</t>
  </si>
  <si>
    <t>Div.</t>
  </si>
  <si>
    <t>h/E</t>
  </si>
  <si>
    <t>1Std/E</t>
  </si>
  <si>
    <t>Materialverkauf</t>
  </si>
  <si>
    <t>Lärchenholz sägerau 12x12cm 1,40m</t>
  </si>
  <si>
    <t>auf zweiseiten genutet wie besprochen.</t>
  </si>
  <si>
    <t>Pfostenträger 82 Stk seitlich zum Montieren</t>
  </si>
  <si>
    <t>Alternative Pfostenträger 82 Stk</t>
  </si>
  <si>
    <t>Arbeitszeit für Nut</t>
  </si>
  <si>
    <t xml:space="preserve">Terrassenrost mit Unterkonstr. 12x12cm </t>
  </si>
  <si>
    <t>Streicher  Lärche gehobelt12x12cm</t>
  </si>
  <si>
    <t>3-S Platte 27mm Fichte Qualität B/C natur</t>
  </si>
  <si>
    <t>Tropfblech Uginox</t>
  </si>
  <si>
    <t>Noteindeckung 1,5mm vor Ort</t>
  </si>
  <si>
    <t>Pultdach Elemente</t>
  </si>
  <si>
    <t>Rauschalung letzte Lage zuzügl. Noteindeckung vor Ort</t>
  </si>
  <si>
    <t>Dachlattung letzte Lage</t>
  </si>
  <si>
    <r>
      <rPr>
        <b/>
        <sz val="9"/>
        <color theme="1"/>
        <rFont val="Century Gothic"/>
        <family val="2"/>
      </rPr>
      <t>gedämmt</t>
    </r>
    <r>
      <rPr>
        <sz val="9"/>
        <color theme="1"/>
        <rFont val="Century Gothic"/>
        <family val="2"/>
      </rPr>
      <t xml:space="preserve"> mit Rauschalung letzte Lage</t>
    </r>
  </si>
  <si>
    <r>
      <t xml:space="preserve">Vordachbereich </t>
    </r>
    <r>
      <rPr>
        <b/>
        <sz val="9"/>
        <color theme="1"/>
        <rFont val="Century Gothic"/>
        <family val="2"/>
      </rPr>
      <t>ungedämmt</t>
    </r>
    <r>
      <rPr>
        <sz val="9"/>
        <color theme="1"/>
        <rFont val="Century Gothic"/>
        <family val="2"/>
      </rPr>
      <t xml:space="preserve"> mit Rauschalung letzte Lage</t>
    </r>
  </si>
  <si>
    <r>
      <rPr>
        <b/>
        <sz val="9"/>
        <color theme="1"/>
        <rFont val="Century Gothic"/>
        <family val="2"/>
      </rPr>
      <t>gedämmt</t>
    </r>
    <r>
      <rPr>
        <sz val="9"/>
        <color theme="1"/>
        <rFont val="Century Gothic"/>
        <family val="2"/>
      </rPr>
      <t xml:space="preserve"> mit Dachlattung letzte Lage</t>
    </r>
  </si>
  <si>
    <r>
      <t xml:space="preserve">Vordachbereich </t>
    </r>
    <r>
      <rPr>
        <b/>
        <sz val="9"/>
        <color theme="1"/>
        <rFont val="Century Gothic"/>
        <family val="2"/>
      </rPr>
      <t>ungedämmt</t>
    </r>
    <r>
      <rPr>
        <sz val="9"/>
        <color theme="1"/>
        <rFont val="Century Gothic"/>
        <family val="2"/>
      </rPr>
      <t xml:space="preserve"> mit Dachlattung letzte Lage</t>
    </r>
  </si>
  <si>
    <t>PULTDACH</t>
  </si>
  <si>
    <t>Flämmkeil h bis 5cm</t>
  </si>
  <si>
    <t>Pfettenkonstruktion-Holz in sepp- Pos</t>
  </si>
  <si>
    <t>Arbeit mit Pfetten</t>
  </si>
  <si>
    <t>Arbeit ohne Pfetten</t>
  </si>
  <si>
    <t>Luker</t>
  </si>
  <si>
    <t>Latten</t>
  </si>
  <si>
    <t>Bretter liegend</t>
  </si>
  <si>
    <t>5,6m/m</t>
  </si>
  <si>
    <t>Lieferant</t>
  </si>
  <si>
    <t>MAUERABDECKUNG:-ATTIKA</t>
  </si>
  <si>
    <t>2,2m/m</t>
  </si>
  <si>
    <t>12Std</t>
  </si>
  <si>
    <t>64Std</t>
  </si>
  <si>
    <t>Bauder Pir Plus 20cm</t>
  </si>
  <si>
    <t>Ausgleichslattung 20cm</t>
  </si>
  <si>
    <t>Traufbrett Fichte geh. Natur b bis 25cm</t>
  </si>
  <si>
    <t>Lochblech alu antrazith b bis 15cm</t>
  </si>
  <si>
    <t>Rauschalung 24mm</t>
  </si>
  <si>
    <t>Traufblech alu antrazith b bis 15cm</t>
  </si>
  <si>
    <t>Noteindeckung 1,5mm nsk</t>
  </si>
  <si>
    <t>Abdeckbrett optional 3-S 27mm</t>
  </si>
  <si>
    <t>alternativ Abdeckblech b bis 25cm</t>
  </si>
  <si>
    <t>Abdeckbrett</t>
  </si>
  <si>
    <t>Blech</t>
  </si>
  <si>
    <t>15mm</t>
  </si>
  <si>
    <t>18mm</t>
  </si>
  <si>
    <t>405-410</t>
  </si>
  <si>
    <t>dd</t>
  </si>
  <si>
    <t>bc</t>
  </si>
  <si>
    <t>27mm</t>
  </si>
  <si>
    <t>24mm geh n+f</t>
  </si>
  <si>
    <t>rau</t>
  </si>
  <si>
    <t>4x5dachl</t>
  </si>
  <si>
    <t>5x8</t>
  </si>
  <si>
    <t>mit Holz</t>
  </si>
  <si>
    <t>ohne Holz</t>
  </si>
  <si>
    <t>OSB 18</t>
  </si>
  <si>
    <t>Riegel 24cm</t>
  </si>
  <si>
    <t>2x</t>
  </si>
  <si>
    <t>Zellulose:</t>
  </si>
  <si>
    <t xml:space="preserve">Wand: </t>
  </si>
  <si>
    <t>78Eur/m3</t>
  </si>
  <si>
    <t>16cm</t>
  </si>
  <si>
    <t>ca 3,71Sack/m3</t>
  </si>
  <si>
    <t>Löcher bohren u schließen ca. 0,82Stk/m2</t>
  </si>
  <si>
    <t>Anreise Abreise&gt;50km</t>
  </si>
  <si>
    <t xml:space="preserve"> 150/M2</t>
  </si>
  <si>
    <t>31/m2</t>
  </si>
  <si>
    <t>Helfer ohne bauseitige</t>
  </si>
  <si>
    <t>Dichtpflaster</t>
  </si>
  <si>
    <t>1eur/stk</t>
  </si>
  <si>
    <t>BE Allg</t>
  </si>
  <si>
    <t>BE sepp.</t>
  </si>
  <si>
    <t>220/m2</t>
  </si>
  <si>
    <t>10%vom Auftrag</t>
  </si>
  <si>
    <t>Annahme 165m2</t>
  </si>
  <si>
    <t>17-24cm Dämmstärke/52kg gewählt 16cm</t>
  </si>
  <si>
    <t xml:space="preserve">Dachaufbau - Sichtdachstuhl </t>
  </si>
  <si>
    <t>Balkon ohne Blumentrog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</si>
</sst>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€&quot;* #,##0.00_);_(&quot;€&quot;* \(#,##0.00\);_(&quot;€&quot;* &quot;-&quot;??_);_(@_)"/>
    <numFmt numFmtId="165" formatCode="0.000"/>
    <numFmt numFmtId="166" formatCode="#,##0.00\ &quot;€&quot;"/>
    <numFmt numFmtId="167" formatCode="#,##0.00\ &quot;€&quot;;\-General;"/>
    <numFmt numFmtId="168" formatCode="0.0000"/>
    <numFmt numFmtId="169" formatCode="#,##0.000"/>
  </numFmts>
  <fonts count="25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8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7"/>
      <color theme="1"/>
      <name val="Century Gothic"/>
      <family val="2"/>
    </font>
    <font>
      <b/>
      <sz val="9"/>
      <color theme="1"/>
      <name val="Century Gothic"/>
      <family val="2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name val="Century Gothic"/>
      <family val="2"/>
    </font>
    <font>
      <b/>
      <sz val="9"/>
      <name val="Century Gothic"/>
      <family val="2"/>
    </font>
    <font>
      <sz val="9"/>
      <color theme="1"/>
      <name val="Century Gothic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name val="Calibri"/>
      <family val="2"/>
    </font>
    <font>
      <u/>
      <sz val="9"/>
      <name val="Century Gothic"/>
      <family val="2"/>
    </font>
    <font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FF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2" fontId="3" fillId="0" borderId="0" xfId="0" applyNumberFormat="1" applyFont="1"/>
    <xf numFmtId="165" fontId="3" fillId="0" borderId="0" xfId="0" applyNumberFormat="1" applyFont="1"/>
    <xf numFmtId="2" fontId="3" fillId="3" borderId="0" xfId="0" applyNumberFormat="1" applyFont="1" applyFill="1"/>
    <xf numFmtId="2" fontId="3" fillId="2" borderId="0" xfId="0" applyNumberFormat="1" applyFont="1" applyFill="1"/>
    <xf numFmtId="2" fontId="3" fillId="0" borderId="0" xfId="0" applyNumberFormat="1" applyFont="1" applyAlignment="1">
      <alignment horizontal="center"/>
    </xf>
    <xf numFmtId="2" fontId="4" fillId="3" borderId="0" xfId="0" applyNumberFormat="1" applyFont="1" applyFill="1"/>
    <xf numFmtId="2" fontId="4" fillId="0" borderId="0" xfId="0" applyNumberFormat="1" applyFont="1"/>
    <xf numFmtId="2" fontId="5" fillId="0" borderId="0" xfId="0" applyNumberFormat="1" applyFont="1" applyAlignment="1">
      <alignment horizontal="center"/>
    </xf>
    <xf numFmtId="2" fontId="4" fillId="2" borderId="0" xfId="0" applyNumberFormat="1" applyFont="1" applyFill="1"/>
    <xf numFmtId="2" fontId="3" fillId="4" borderId="0" xfId="0" applyNumberFormat="1" applyFont="1" applyFill="1"/>
    <xf numFmtId="2" fontId="4" fillId="4" borderId="0" xfId="0" applyNumberFormat="1" applyFont="1" applyFill="1" applyAlignment="1">
      <alignment horizontal="center" vertical="center"/>
    </xf>
    <xf numFmtId="2" fontId="3" fillId="5" borderId="0" xfId="0" applyNumberFormat="1" applyFont="1" applyFill="1"/>
    <xf numFmtId="2" fontId="4" fillId="5" borderId="0" xfId="0" applyNumberFormat="1" applyFont="1" applyFill="1"/>
    <xf numFmtId="2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/>
    <xf numFmtId="2" fontId="3" fillId="0" borderId="2" xfId="0" applyNumberFormat="1" applyFont="1" applyBorder="1"/>
    <xf numFmtId="0" fontId="6" fillId="0" borderId="0" xfId="0" applyFont="1"/>
    <xf numFmtId="4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0" borderId="3" xfId="0" applyBorder="1"/>
    <xf numFmtId="0" fontId="0" fillId="0" borderId="4" xfId="0" applyBorder="1"/>
    <xf numFmtId="2" fontId="6" fillId="0" borderId="4" xfId="0" applyNumberFormat="1" applyFont="1" applyBorder="1"/>
    <xf numFmtId="4" fontId="0" fillId="0" borderId="4" xfId="0" applyNumberFormat="1" applyBorder="1"/>
    <xf numFmtId="0" fontId="0" fillId="0" borderId="5" xfId="0" applyBorder="1"/>
    <xf numFmtId="0" fontId="7" fillId="0" borderId="0" xfId="0" applyFont="1"/>
    <xf numFmtId="4" fontId="7" fillId="0" borderId="0" xfId="0" applyNumberFormat="1" applyFont="1"/>
    <xf numFmtId="2" fontId="7" fillId="0" borderId="0" xfId="0" applyNumberFormat="1" applyFont="1"/>
    <xf numFmtId="0" fontId="8" fillId="0" borderId="0" xfId="0" applyFont="1"/>
    <xf numFmtId="4" fontId="8" fillId="0" borderId="0" xfId="0" applyNumberFormat="1" applyFont="1"/>
    <xf numFmtId="2" fontId="8" fillId="0" borderId="0" xfId="0" applyNumberFormat="1" applyFont="1"/>
    <xf numFmtId="2" fontId="6" fillId="0" borderId="0" xfId="0" applyNumberFormat="1" applyFont="1"/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left" vertical="center"/>
    </xf>
    <xf numFmtId="4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4" fontId="3" fillId="0" borderId="0" xfId="0" applyNumberFormat="1" applyFont="1"/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6" fontId="9" fillId="0" borderId="0" xfId="0" applyNumberFormat="1" applyFont="1" applyAlignment="1" applyProtection="1">
      <alignment horizontal="right"/>
      <protection locked="0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top"/>
    </xf>
    <xf numFmtId="0" fontId="13" fillId="0" borderId="0" xfId="0" applyFont="1"/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49" fontId="11" fillId="0" borderId="0" xfId="0" applyNumberFormat="1" applyFont="1" applyAlignment="1">
      <alignment horizontal="left" vertical="top"/>
    </xf>
    <xf numFmtId="167" fontId="11" fillId="0" borderId="0" xfId="0" applyNumberFormat="1" applyFont="1" applyAlignment="1" applyProtection="1">
      <alignment horizontal="right"/>
      <protection locked="0"/>
    </xf>
    <xf numFmtId="166" fontId="11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2" fontId="13" fillId="0" borderId="6" xfId="0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4" fontId="13" fillId="0" borderId="0" xfId="0" applyNumberFormat="1" applyFont="1" applyAlignment="1">
      <alignment horizontal="right"/>
    </xf>
    <xf numFmtId="2" fontId="6" fillId="0" borderId="7" xfId="0" applyNumberFormat="1" applyFont="1" applyBorder="1"/>
    <xf numFmtId="0" fontId="13" fillId="0" borderId="8" xfId="0" applyFont="1" applyBorder="1" applyAlignment="1">
      <alignment horizontal="right"/>
    </xf>
    <xf numFmtId="2" fontId="0" fillId="0" borderId="7" xfId="0" applyNumberFormat="1" applyBorder="1"/>
    <xf numFmtId="2" fontId="13" fillId="0" borderId="7" xfId="0" applyNumberFormat="1" applyFont="1" applyBorder="1"/>
    <xf numFmtId="4" fontId="0" fillId="0" borderId="7" xfId="0" applyNumberFormat="1" applyBorder="1"/>
    <xf numFmtId="4" fontId="13" fillId="0" borderId="7" xfId="0" applyNumberFormat="1" applyFont="1" applyBorder="1"/>
    <xf numFmtId="4" fontId="13" fillId="0" borderId="8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right"/>
    </xf>
    <xf numFmtId="166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0" fillId="5" borderId="0" xfId="0" applyNumberFormat="1" applyFill="1" applyAlignment="1">
      <alignment horizontal="right"/>
    </xf>
    <xf numFmtId="166" fontId="9" fillId="5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0" fontId="0" fillId="5" borderId="0" xfId="0" applyFill="1"/>
    <xf numFmtId="2" fontId="0" fillId="5" borderId="0" xfId="0" applyNumberFormat="1" applyFill="1"/>
    <xf numFmtId="166" fontId="9" fillId="5" borderId="0" xfId="0" applyNumberFormat="1" applyFont="1" applyFill="1" applyAlignment="1" applyProtection="1">
      <alignment horizontal="right"/>
      <protection locked="0"/>
    </xf>
    <xf numFmtId="166" fontId="9" fillId="0" borderId="0" xfId="0" applyNumberFormat="1" applyFont="1" applyProtection="1">
      <protection locked="0"/>
    </xf>
    <xf numFmtId="2" fontId="0" fillId="5" borderId="0" xfId="0" applyNumberFormat="1" applyFill="1" applyAlignment="1">
      <alignment horizontal="right"/>
    </xf>
    <xf numFmtId="2" fontId="0" fillId="6" borderId="0" xfId="0" applyNumberFormat="1" applyFill="1"/>
    <xf numFmtId="2" fontId="0" fillId="0" borderId="4" xfId="0" applyNumberFormat="1" applyBorder="1"/>
    <xf numFmtId="168" fontId="0" fillId="0" borderId="0" xfId="0" applyNumberFormat="1"/>
    <xf numFmtId="2" fontId="11" fillId="0" borderId="0" xfId="0" applyNumberFormat="1" applyFont="1"/>
    <xf numFmtId="2" fontId="11" fillId="0" borderId="3" xfId="0" applyNumberFormat="1" applyFont="1" applyBorder="1"/>
    <xf numFmtId="166" fontId="0" fillId="0" borderId="0" xfId="0" applyNumberFormat="1"/>
    <xf numFmtId="2" fontId="0" fillId="0" borderId="0" xfId="0" applyNumberFormat="1" applyAlignment="1">
      <alignment horizontal="center"/>
    </xf>
    <xf numFmtId="4" fontId="9" fillId="0" borderId="0" xfId="0" applyNumberFormat="1" applyFont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2" fontId="9" fillId="0" borderId="0" xfId="0" applyNumberFormat="1" applyFont="1" applyProtection="1">
      <protection locked="0"/>
    </xf>
    <xf numFmtId="166" fontId="11" fillId="5" borderId="0" xfId="0" applyNumberFormat="1" applyFont="1" applyFill="1"/>
    <xf numFmtId="0" fontId="14" fillId="0" borderId="0" xfId="0" applyFont="1"/>
    <xf numFmtId="0" fontId="0" fillId="7" borderId="0" xfId="0" applyFill="1"/>
    <xf numFmtId="2" fontId="15" fillId="0" borderId="0" xfId="0" applyNumberFormat="1" applyFont="1"/>
    <xf numFmtId="0" fontId="15" fillId="0" borderId="0" xfId="0" applyFont="1"/>
    <xf numFmtId="169" fontId="0" fillId="0" borderId="0" xfId="0" applyNumberFormat="1"/>
    <xf numFmtId="0" fontId="14" fillId="6" borderId="0" xfId="0" applyFont="1" applyFill="1"/>
    <xf numFmtId="0" fontId="16" fillId="0" borderId="0" xfId="0" applyFont="1"/>
    <xf numFmtId="0" fontId="17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4" fontId="18" fillId="0" borderId="0" xfId="0" applyNumberFormat="1" applyFont="1"/>
    <xf numFmtId="2" fontId="18" fillId="0" borderId="0" xfId="0" applyNumberFormat="1" applyFont="1"/>
    <xf numFmtId="164" fontId="1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9" fillId="0" borderId="9" xfId="0" applyNumberFormat="1" applyFont="1" applyBorder="1" applyAlignment="1">
      <alignment horizontal="left" vertical="center"/>
    </xf>
    <xf numFmtId="4" fontId="9" fillId="0" borderId="9" xfId="0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64" fontId="19" fillId="0" borderId="9" xfId="0" applyNumberFormat="1" applyFon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21" fillId="0" borderId="0" xfId="0" applyFont="1"/>
    <xf numFmtId="166" fontId="11" fillId="0" borderId="0" xfId="0" applyNumberFormat="1" applyFont="1"/>
    <xf numFmtId="49" fontId="6" fillId="0" borderId="10" xfId="0" applyNumberFormat="1" applyFont="1" applyBorder="1" applyAlignment="1">
      <alignment horizontal="left" vertical="center"/>
    </xf>
    <xf numFmtId="0" fontId="22" fillId="0" borderId="0" xfId="0" applyFont="1"/>
    <xf numFmtId="0" fontId="23" fillId="0" borderId="0" xfId="0" applyFont="1"/>
    <xf numFmtId="49" fontId="24" fillId="0" borderId="0" xfId="0" applyNumberFormat="1" applyFont="1" applyAlignment="1">
      <alignment horizontal="left" vertical="center"/>
    </xf>
    <xf numFmtId="2" fontId="24" fillId="0" borderId="0" xfId="0" applyNumberFormat="1" applyFont="1"/>
    <xf numFmtId="2" fontId="13" fillId="0" borderId="0" xfId="0" applyNumberFormat="1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zoomScaleNormal="100" workbookViewId="0">
      <selection activeCell="H21" sqref="H21"/>
    </sheetView>
  </sheetViews>
  <sheetFormatPr baseColWidth="10" defaultColWidth="10.85546875" defaultRowHeight="15" x14ac:dyDescent="0.25"/>
  <cols>
    <col min="7" max="7" width="13.42578125" customWidth="1"/>
  </cols>
  <sheetData>
    <row r="1" spans="1:12" x14ac:dyDescent="0.25">
      <c r="A1" s="18"/>
      <c r="L1" s="19"/>
    </row>
    <row r="2" spans="1:12" x14ac:dyDescent="0.25">
      <c r="F2" s="18"/>
      <c r="L2" s="19"/>
    </row>
    <row r="3" spans="1:12" x14ac:dyDescent="0.25">
      <c r="L3" s="19"/>
    </row>
    <row r="4" spans="1:12" x14ac:dyDescent="0.25">
      <c r="D4" s="20"/>
      <c r="L4" s="19"/>
    </row>
    <row r="5" spans="1:12" x14ac:dyDescent="0.25">
      <c r="L5" s="19"/>
    </row>
    <row r="6" spans="1:12" x14ac:dyDescent="0.25">
      <c r="L6" s="19"/>
    </row>
    <row r="7" spans="1:12" x14ac:dyDescent="0.25">
      <c r="L7" s="19"/>
    </row>
    <row r="8" spans="1:12" x14ac:dyDescent="0.25">
      <c r="L8" s="19"/>
    </row>
    <row r="9" spans="1:12" x14ac:dyDescent="0.25">
      <c r="L9" s="19"/>
    </row>
    <row r="10" spans="1:12" x14ac:dyDescent="0.25">
      <c r="L10" s="19"/>
    </row>
    <row r="11" spans="1:12" x14ac:dyDescent="0.25">
      <c r="D11" s="20"/>
      <c r="L11" s="19"/>
    </row>
    <row r="12" spans="1:12" x14ac:dyDescent="0.25">
      <c r="D12" s="20"/>
      <c r="L12" s="19"/>
    </row>
    <row r="13" spans="1:12" x14ac:dyDescent="0.25">
      <c r="L13" s="19"/>
    </row>
    <row r="14" spans="1:12" x14ac:dyDescent="0.25">
      <c r="L14" s="19"/>
    </row>
    <row r="15" spans="1:12" x14ac:dyDescent="0.25">
      <c r="L15" s="19"/>
    </row>
    <row r="16" spans="1:12" x14ac:dyDescent="0.25">
      <c r="L16" s="19"/>
    </row>
    <row r="17" spans="4:12" x14ac:dyDescent="0.25">
      <c r="D17" s="20"/>
      <c r="L17" s="19"/>
    </row>
    <row r="18" spans="4:12" x14ac:dyDescent="0.25">
      <c r="D18" s="20"/>
      <c r="G18" s="20"/>
      <c r="L18" s="19"/>
    </row>
    <row r="19" spans="4:12" x14ac:dyDescent="0.25">
      <c r="L19" s="19"/>
    </row>
    <row r="20" spans="4:12" x14ac:dyDescent="0.25">
      <c r="L20" s="19"/>
    </row>
    <row r="21" spans="4:12" x14ac:dyDescent="0.25">
      <c r="L21" s="19"/>
    </row>
    <row r="22" spans="4:12" x14ac:dyDescent="0.25">
      <c r="L22" s="19"/>
    </row>
    <row r="23" spans="4:12" x14ac:dyDescent="0.25">
      <c r="L23" s="19"/>
    </row>
    <row r="24" spans="4:12" x14ac:dyDescent="0.25">
      <c r="D24" s="20"/>
      <c r="L24" s="19"/>
    </row>
    <row r="25" spans="4:12" x14ac:dyDescent="0.25">
      <c r="D25" s="20"/>
      <c r="L25" s="19"/>
    </row>
    <row r="26" spans="4:12" x14ac:dyDescent="0.25">
      <c r="L26" s="19"/>
    </row>
    <row r="27" spans="4:12" x14ac:dyDescent="0.25">
      <c r="L27" s="19"/>
    </row>
    <row r="28" spans="4:12" x14ac:dyDescent="0.25">
      <c r="L28" s="19"/>
    </row>
    <row r="29" spans="4:12" x14ac:dyDescent="0.25">
      <c r="L29" s="19"/>
    </row>
    <row r="30" spans="4:12" x14ac:dyDescent="0.25">
      <c r="L30" s="19"/>
    </row>
    <row r="31" spans="4:12" x14ac:dyDescent="0.25">
      <c r="D31" s="20"/>
      <c r="L31" s="19"/>
    </row>
    <row r="32" spans="4:12" x14ac:dyDescent="0.25">
      <c r="L32" s="19"/>
    </row>
    <row r="33" spans="4:14" x14ac:dyDescent="0.25">
      <c r="L33" s="19"/>
    </row>
    <row r="34" spans="4:14" x14ac:dyDescent="0.25">
      <c r="L34" s="19"/>
    </row>
    <row r="35" spans="4:14" x14ac:dyDescent="0.25">
      <c r="L35" s="19"/>
    </row>
    <row r="36" spans="4:14" x14ac:dyDescent="0.25">
      <c r="J36" s="20"/>
      <c r="L36" s="19"/>
    </row>
    <row r="37" spans="4:14" x14ac:dyDescent="0.25">
      <c r="L37" s="19"/>
    </row>
    <row r="38" spans="4:14" x14ac:dyDescent="0.25">
      <c r="L38" s="19"/>
    </row>
    <row r="39" spans="4:14" x14ac:dyDescent="0.25">
      <c r="L39" s="19"/>
    </row>
    <row r="40" spans="4:14" x14ac:dyDescent="0.25">
      <c r="D40" s="20"/>
      <c r="G40" s="20"/>
      <c r="L40" s="19"/>
    </row>
    <row r="41" spans="4:14" x14ac:dyDescent="0.25">
      <c r="J41" s="20"/>
      <c r="L41" s="19"/>
    </row>
    <row r="42" spans="4:14" x14ac:dyDescent="0.25">
      <c r="L42" s="19"/>
    </row>
    <row r="43" spans="4:14" x14ac:dyDescent="0.25">
      <c r="F43" s="33"/>
      <c r="G43" s="34"/>
      <c r="L43" s="19"/>
      <c r="N43" s="20"/>
    </row>
    <row r="47" spans="4:14" ht="15.75" x14ac:dyDescent="0.3">
      <c r="E47" s="1"/>
      <c r="F47" s="1"/>
      <c r="G47" s="1"/>
      <c r="H47" s="1"/>
      <c r="I47" s="1"/>
      <c r="J47" s="1"/>
      <c r="K47" s="1"/>
      <c r="L47" s="1"/>
      <c r="M47" s="1"/>
    </row>
    <row r="49" spans="1:23" ht="15.75" x14ac:dyDescent="0.3">
      <c r="A49" s="1"/>
      <c r="B49" s="1"/>
      <c r="C49" s="2"/>
      <c r="D49" s="1"/>
      <c r="E49" s="1"/>
      <c r="F49" s="1"/>
      <c r="G49" s="7"/>
      <c r="H49" s="7"/>
      <c r="I49" s="7"/>
      <c r="J49" s="7"/>
      <c r="K49" s="142"/>
      <c r="L49" s="142"/>
      <c r="M49" s="142"/>
      <c r="N49" s="7"/>
      <c r="O49" s="142"/>
      <c r="P49" s="142"/>
      <c r="Q49" s="142"/>
      <c r="R49" s="1"/>
      <c r="S49" s="1"/>
      <c r="T49" s="7"/>
      <c r="U49" s="35"/>
      <c r="V49" s="15"/>
      <c r="W49" s="1"/>
    </row>
    <row r="50" spans="1:23" ht="15.75" x14ac:dyDescent="0.3">
      <c r="A50" s="1"/>
      <c r="B50" s="1"/>
      <c r="C50" s="2"/>
      <c r="D50" s="1"/>
      <c r="E50" s="1"/>
      <c r="F50" s="1"/>
      <c r="G50" s="1"/>
      <c r="H50" s="1"/>
      <c r="I50" s="1"/>
      <c r="J50" s="1"/>
      <c r="K50" s="5"/>
      <c r="L50" s="5"/>
      <c r="M50" s="5"/>
      <c r="N50" s="1"/>
      <c r="O50" s="8"/>
      <c r="P50" s="143"/>
      <c r="Q50" s="143"/>
      <c r="R50" s="1"/>
      <c r="S50" s="1"/>
      <c r="T50" s="1"/>
      <c r="U50" s="15"/>
      <c r="V50" s="1"/>
      <c r="W50" s="1"/>
    </row>
    <row r="51" spans="1:23" ht="15.75" x14ac:dyDescent="0.3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8"/>
  <sheetViews>
    <sheetView zoomScaleNormal="100" workbookViewId="0">
      <selection activeCell="B6" sqref="B6"/>
    </sheetView>
  </sheetViews>
  <sheetFormatPr baseColWidth="10" defaultColWidth="10.85546875" defaultRowHeight="15" x14ac:dyDescent="0.25"/>
  <cols>
    <col min="1" max="1" width="12.85546875" bestFit="1" customWidth="1"/>
    <col min="4" max="4" width="10.85546875" style="19"/>
    <col min="7" max="7" width="13.42578125" customWidth="1"/>
  </cols>
  <sheetData>
    <row r="1" spans="1:12" x14ac:dyDescent="0.25">
      <c r="A1" s="18" t="s">
        <v>136</v>
      </c>
      <c r="L1" s="19"/>
    </row>
    <row r="2" spans="1:12" x14ac:dyDescent="0.25">
      <c r="A2" t="s">
        <v>137</v>
      </c>
      <c r="B2">
        <v>53</v>
      </c>
      <c r="C2" t="s">
        <v>138</v>
      </c>
      <c r="D2" s="19">
        <f>B2/60</f>
        <v>0.8833333333333333</v>
      </c>
      <c r="E2" t="s">
        <v>139</v>
      </c>
      <c r="F2" s="18"/>
      <c r="L2" s="19"/>
    </row>
    <row r="3" spans="1:12" x14ac:dyDescent="0.25">
      <c r="A3" t="s">
        <v>140</v>
      </c>
      <c r="B3">
        <v>105</v>
      </c>
      <c r="C3" t="s">
        <v>138</v>
      </c>
      <c r="D3" s="19">
        <f>B3/60</f>
        <v>1.75</v>
      </c>
      <c r="E3" t="s">
        <v>139</v>
      </c>
      <c r="L3" s="19"/>
    </row>
    <row r="4" spans="1:12" x14ac:dyDescent="0.25">
      <c r="A4" t="s">
        <v>141</v>
      </c>
      <c r="B4">
        <v>48</v>
      </c>
      <c r="C4" t="s">
        <v>138</v>
      </c>
      <c r="D4" s="19">
        <f>B4/60</f>
        <v>0.8</v>
      </c>
      <c r="E4" t="s">
        <v>139</v>
      </c>
      <c r="L4" s="19"/>
    </row>
    <row r="5" spans="1:12" x14ac:dyDescent="0.25">
      <c r="A5" t="s">
        <v>142</v>
      </c>
      <c r="B5">
        <v>110</v>
      </c>
      <c r="C5" t="s">
        <v>138</v>
      </c>
      <c r="D5" s="19">
        <f>B5/60</f>
        <v>1.8333333333333333</v>
      </c>
      <c r="E5" t="s">
        <v>139</v>
      </c>
      <c r="L5" s="19"/>
    </row>
    <row r="6" spans="1:12" x14ac:dyDescent="0.25">
      <c r="L6" s="19"/>
    </row>
    <row r="7" spans="1:12" x14ac:dyDescent="0.25">
      <c r="L7" s="19"/>
    </row>
    <row r="8" spans="1:12" x14ac:dyDescent="0.25">
      <c r="L8" s="19"/>
    </row>
    <row r="9" spans="1:12" x14ac:dyDescent="0.25">
      <c r="L9" s="19"/>
    </row>
    <row r="10" spans="1:12" x14ac:dyDescent="0.25">
      <c r="L10" s="19"/>
    </row>
    <row r="11" spans="1:12" x14ac:dyDescent="0.25">
      <c r="L11" s="19"/>
    </row>
    <row r="12" spans="1:12" x14ac:dyDescent="0.25">
      <c r="L12" s="19"/>
    </row>
    <row r="13" spans="1:12" x14ac:dyDescent="0.25">
      <c r="L13" s="19"/>
    </row>
    <row r="14" spans="1:12" x14ac:dyDescent="0.25">
      <c r="L14" s="19"/>
    </row>
    <row r="15" spans="1:12" x14ac:dyDescent="0.25">
      <c r="L15" s="19"/>
    </row>
    <row r="16" spans="1:12" x14ac:dyDescent="0.25">
      <c r="L16" s="19"/>
    </row>
    <row r="17" spans="7:12" x14ac:dyDescent="0.25">
      <c r="L17" s="19"/>
    </row>
    <row r="18" spans="7:12" x14ac:dyDescent="0.25">
      <c r="G18" s="20"/>
      <c r="L18" s="19"/>
    </row>
    <row r="19" spans="7:12" x14ac:dyDescent="0.25">
      <c r="L19" s="19"/>
    </row>
    <row r="20" spans="7:12" x14ac:dyDescent="0.25">
      <c r="L20" s="19"/>
    </row>
    <row r="21" spans="7:12" x14ac:dyDescent="0.25">
      <c r="L21" s="19"/>
    </row>
    <row r="22" spans="7:12" x14ac:dyDescent="0.25">
      <c r="L22" s="19"/>
    </row>
    <row r="23" spans="7:12" x14ac:dyDescent="0.25">
      <c r="L23" s="19"/>
    </row>
    <row r="24" spans="7:12" x14ac:dyDescent="0.25">
      <c r="L24" s="19"/>
    </row>
    <row r="25" spans="7:12" x14ac:dyDescent="0.25">
      <c r="L25" s="19"/>
    </row>
    <row r="26" spans="7:12" x14ac:dyDescent="0.25">
      <c r="L26" s="19"/>
    </row>
    <row r="27" spans="7:12" x14ac:dyDescent="0.25">
      <c r="L27" s="19"/>
    </row>
    <row r="28" spans="7:12" x14ac:dyDescent="0.25">
      <c r="L28" s="19"/>
    </row>
    <row r="29" spans="7:12" x14ac:dyDescent="0.25">
      <c r="L29" s="19"/>
    </row>
    <row r="30" spans="7:12" x14ac:dyDescent="0.25">
      <c r="L30" s="19"/>
    </row>
    <row r="31" spans="7:12" x14ac:dyDescent="0.25">
      <c r="L31" s="19"/>
    </row>
    <row r="32" spans="7:12" x14ac:dyDescent="0.25">
      <c r="L32" s="19"/>
    </row>
    <row r="33" spans="5:14" x14ac:dyDescent="0.25">
      <c r="L33" s="19"/>
    </row>
    <row r="34" spans="5:14" x14ac:dyDescent="0.25">
      <c r="L34" s="19"/>
    </row>
    <row r="35" spans="5:14" x14ac:dyDescent="0.25">
      <c r="L35" s="19"/>
    </row>
    <row r="36" spans="5:14" x14ac:dyDescent="0.25">
      <c r="J36" s="20"/>
      <c r="L36" s="19"/>
    </row>
    <row r="37" spans="5:14" x14ac:dyDescent="0.25">
      <c r="L37" s="19"/>
    </row>
    <row r="38" spans="5:14" x14ac:dyDescent="0.25">
      <c r="L38" s="19"/>
    </row>
    <row r="39" spans="5:14" x14ac:dyDescent="0.25">
      <c r="L39" s="19"/>
    </row>
    <row r="40" spans="5:14" x14ac:dyDescent="0.25">
      <c r="G40" s="20"/>
      <c r="L40" s="19"/>
    </row>
    <row r="41" spans="5:14" x14ac:dyDescent="0.25">
      <c r="J41" s="20"/>
      <c r="L41" s="19"/>
    </row>
    <row r="42" spans="5:14" x14ac:dyDescent="0.25">
      <c r="L42" s="19"/>
    </row>
    <row r="43" spans="5:14" x14ac:dyDescent="0.25">
      <c r="F43" s="33"/>
      <c r="G43" s="34"/>
      <c r="L43" s="19"/>
      <c r="N43" s="20"/>
    </row>
    <row r="47" spans="5:14" ht="15.75" x14ac:dyDescent="0.3">
      <c r="E47" s="1"/>
      <c r="F47" s="1"/>
      <c r="G47" s="1"/>
      <c r="H47" s="1"/>
      <c r="I47" s="1"/>
      <c r="J47" s="1"/>
      <c r="K47" s="1"/>
      <c r="L47" s="1"/>
      <c r="M47" s="1"/>
    </row>
    <row r="49" spans="1:23" ht="15.75" x14ac:dyDescent="0.3">
      <c r="A49" s="1"/>
      <c r="B49" s="1"/>
      <c r="C49" s="2"/>
      <c r="D49" s="42"/>
      <c r="E49" s="1"/>
      <c r="F49" s="1"/>
      <c r="G49" s="7"/>
      <c r="H49" s="7"/>
      <c r="I49" s="7"/>
      <c r="J49" s="7"/>
      <c r="K49" s="142"/>
      <c r="L49" s="142"/>
      <c r="M49" s="142"/>
      <c r="N49" s="7"/>
      <c r="O49" s="142"/>
      <c r="P49" s="142"/>
      <c r="Q49" s="142"/>
      <c r="R49" s="1"/>
      <c r="S49" s="1"/>
      <c r="T49" s="7"/>
      <c r="U49" s="35"/>
      <c r="V49" s="15"/>
      <c r="W49" s="1"/>
    </row>
    <row r="50" spans="1:23" ht="15.75" x14ac:dyDescent="0.3">
      <c r="A50" s="1"/>
      <c r="B50" s="1"/>
      <c r="C50" s="2"/>
      <c r="D50" s="42"/>
      <c r="E50" s="1"/>
      <c r="F50" s="1"/>
      <c r="G50" s="1"/>
      <c r="H50" s="1"/>
      <c r="I50" s="1"/>
      <c r="J50" s="1"/>
      <c r="K50" s="5"/>
      <c r="L50" s="5"/>
      <c r="M50" s="5"/>
      <c r="N50" s="1"/>
      <c r="O50" s="8"/>
      <c r="P50" s="143"/>
      <c r="Q50" s="143"/>
      <c r="R50" s="1"/>
      <c r="S50" s="1"/>
      <c r="T50" s="1"/>
      <c r="U50" s="15"/>
      <c r="V50" s="1"/>
      <c r="W50" s="1"/>
    </row>
    <row r="51" spans="1:23" ht="15.75" x14ac:dyDescent="0.3">
      <c r="A51" s="1"/>
      <c r="B51" s="1"/>
      <c r="C51" s="2"/>
      <c r="D51" s="4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3">
      <c r="A52" s="1"/>
      <c r="B52" s="1"/>
      <c r="C52" s="2"/>
      <c r="D52" s="4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3">
      <c r="A53" s="1"/>
      <c r="B53" s="1"/>
      <c r="C53" s="2"/>
      <c r="D53" s="4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3">
      <c r="A54" s="1"/>
      <c r="B54" s="1"/>
      <c r="C54" s="2"/>
      <c r="D54" s="4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3">
      <c r="A55" s="1"/>
      <c r="B55" s="1"/>
      <c r="C55" s="2"/>
      <c r="D55" s="4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4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4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"/>
  <sheetViews>
    <sheetView tabSelected="1" zoomScaleNormal="100" workbookViewId="0">
      <selection activeCell="H15" sqref="H15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0" customWidth="1"/>
    <col min="8" max="8" width="10.85546875" style="70"/>
    <col min="9" max="10" width="10.85546875" style="20"/>
  </cols>
  <sheetData>
    <row r="1" spans="1:8" x14ac:dyDescent="0.25"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</row>
    <row r="2" spans="1:8" x14ac:dyDescent="0.25">
      <c r="C2" s="38" t="s">
        <v>124</v>
      </c>
      <c r="G2" s="79"/>
      <c r="H2" s="79"/>
    </row>
    <row r="3" spans="1:8" x14ac:dyDescent="0.25">
      <c r="A3" s="37">
        <v>1</v>
      </c>
      <c r="B3" s="37" t="s">
        <v>122</v>
      </c>
      <c r="C3" s="36" t="s">
        <v>123</v>
      </c>
      <c r="D3" s="71">
        <f>G3+H3</f>
        <v>840</v>
      </c>
      <c r="E3" s="71">
        <f>A3*D3</f>
        <v>840</v>
      </c>
      <c r="F3" s="72">
        <f>G3/50</f>
        <v>16.8</v>
      </c>
      <c r="G3" s="80">
        <f>8*'BM-L'!B3</f>
        <v>840</v>
      </c>
      <c r="H3" s="79"/>
    </row>
    <row r="4" spans="1:8" x14ac:dyDescent="0.25">
      <c r="A4" s="37">
        <v>1</v>
      </c>
      <c r="B4" s="37" t="s">
        <v>122</v>
      </c>
      <c r="C4" s="36" t="s">
        <v>125</v>
      </c>
      <c r="D4" s="71">
        <f t="shared" ref="D4:D14" si="0">G4+H4</f>
        <v>0</v>
      </c>
      <c r="E4" s="71">
        <f t="shared" ref="E4:E14" si="1">A4*D4</f>
        <v>0</v>
      </c>
      <c r="F4" s="72">
        <f t="shared" ref="F4:F14" si="2">G4/50</f>
        <v>0</v>
      </c>
      <c r="G4" s="80"/>
      <c r="H4" s="79"/>
    </row>
    <row r="5" spans="1:8" x14ac:dyDescent="0.25">
      <c r="A5" s="37">
        <v>1</v>
      </c>
      <c r="B5" s="37" t="s">
        <v>122</v>
      </c>
      <c r="C5" s="36" t="s">
        <v>126</v>
      </c>
      <c r="D5" s="71">
        <f t="shared" si="0"/>
        <v>0</v>
      </c>
      <c r="E5" s="71">
        <f t="shared" si="1"/>
        <v>0</v>
      </c>
      <c r="F5" s="72">
        <f t="shared" si="2"/>
        <v>0</v>
      </c>
      <c r="G5" s="80"/>
      <c r="H5" s="79"/>
    </row>
    <row r="6" spans="1:8" x14ac:dyDescent="0.25">
      <c r="A6" s="37"/>
      <c r="B6" s="37" t="s">
        <v>127</v>
      </c>
      <c r="C6" s="36" t="s">
        <v>128</v>
      </c>
      <c r="D6" s="71">
        <f t="shared" si="0"/>
        <v>110</v>
      </c>
      <c r="E6" s="71">
        <f t="shared" si="1"/>
        <v>0</v>
      </c>
      <c r="F6" s="72">
        <f t="shared" si="2"/>
        <v>2.2000000000000002</v>
      </c>
      <c r="G6" s="80">
        <v>110</v>
      </c>
      <c r="H6" s="80"/>
    </row>
    <row r="7" spans="1:8" x14ac:dyDescent="0.25">
      <c r="A7" s="37">
        <v>1</v>
      </c>
      <c r="B7" s="41" t="s">
        <v>122</v>
      </c>
      <c r="C7" s="39" t="s">
        <v>130</v>
      </c>
      <c r="D7" s="71">
        <f t="shared" si="0"/>
        <v>2100</v>
      </c>
      <c r="E7" s="71">
        <f t="shared" si="1"/>
        <v>2100</v>
      </c>
      <c r="F7" s="72">
        <f t="shared" si="2"/>
        <v>42</v>
      </c>
      <c r="G7" s="80">
        <f>7*3*2*50</f>
        <v>2100</v>
      </c>
      <c r="H7" s="80"/>
    </row>
    <row r="8" spans="1:8" x14ac:dyDescent="0.25">
      <c r="A8" s="37">
        <v>1</v>
      </c>
      <c r="B8" s="41" t="s">
        <v>132</v>
      </c>
      <c r="C8" s="39" t="s">
        <v>131</v>
      </c>
      <c r="D8" s="71">
        <f t="shared" si="0"/>
        <v>750</v>
      </c>
      <c r="E8" s="71">
        <f t="shared" si="1"/>
        <v>750</v>
      </c>
      <c r="F8" s="72">
        <f t="shared" si="2"/>
        <v>0</v>
      </c>
      <c r="G8" s="80"/>
      <c r="H8" s="80">
        <v>750</v>
      </c>
    </row>
    <row r="9" spans="1:8" x14ac:dyDescent="0.25">
      <c r="A9" s="37"/>
      <c r="B9" s="41" t="s">
        <v>129</v>
      </c>
      <c r="C9" s="39" t="s">
        <v>133</v>
      </c>
      <c r="D9" s="71">
        <f t="shared" si="0"/>
        <v>55</v>
      </c>
      <c r="E9" s="71">
        <f t="shared" si="1"/>
        <v>0</v>
      </c>
      <c r="F9" s="72">
        <f t="shared" si="2"/>
        <v>1.1000000000000001</v>
      </c>
      <c r="G9" s="80">
        <v>55</v>
      </c>
      <c r="H9" s="80"/>
    </row>
    <row r="10" spans="1:8" x14ac:dyDescent="0.25">
      <c r="A10" s="37"/>
      <c r="B10" s="41" t="s">
        <v>129</v>
      </c>
      <c r="C10" s="39" t="s">
        <v>261</v>
      </c>
      <c r="D10" s="71">
        <f t="shared" si="0"/>
        <v>55</v>
      </c>
      <c r="E10" s="71">
        <f t="shared" si="1"/>
        <v>0</v>
      </c>
      <c r="F10" s="72">
        <f t="shared" si="2"/>
        <v>1.1000000000000001</v>
      </c>
      <c r="G10" s="80">
        <v>55</v>
      </c>
      <c r="H10" s="80"/>
    </row>
    <row r="11" spans="1:8" x14ac:dyDescent="0.25">
      <c r="A11" s="37"/>
      <c r="B11" s="41" t="s">
        <v>24</v>
      </c>
      <c r="C11" s="39" t="s">
        <v>134</v>
      </c>
      <c r="D11" s="71">
        <f t="shared" si="0"/>
        <v>0.5</v>
      </c>
      <c r="E11" s="71">
        <f t="shared" si="1"/>
        <v>0</v>
      </c>
      <c r="F11" s="72">
        <f t="shared" si="2"/>
        <v>0</v>
      </c>
      <c r="G11" s="80"/>
      <c r="H11" s="80">
        <v>0.5</v>
      </c>
    </row>
    <row r="12" spans="1:8" ht="15.75" x14ac:dyDescent="0.3">
      <c r="A12" s="37"/>
      <c r="B12" s="43" t="s">
        <v>35</v>
      </c>
      <c r="C12" s="36" t="s">
        <v>147</v>
      </c>
      <c r="D12" s="71">
        <f t="shared" si="0"/>
        <v>8.5</v>
      </c>
      <c r="E12" s="71">
        <f t="shared" si="1"/>
        <v>0</v>
      </c>
      <c r="F12" s="72">
        <f t="shared" si="2"/>
        <v>0</v>
      </c>
      <c r="G12" s="80"/>
      <c r="H12" s="80">
        <v>8.5</v>
      </c>
    </row>
    <row r="13" spans="1:8" ht="15.75" x14ac:dyDescent="0.3">
      <c r="A13" s="37"/>
      <c r="B13" s="43" t="s">
        <v>135</v>
      </c>
      <c r="C13" s="36" t="s">
        <v>148</v>
      </c>
      <c r="D13" s="71">
        <f t="shared" si="0"/>
        <v>0.45</v>
      </c>
      <c r="E13" s="71">
        <f t="shared" si="1"/>
        <v>0</v>
      </c>
      <c r="F13" s="72">
        <f t="shared" si="2"/>
        <v>0</v>
      </c>
      <c r="G13" s="80"/>
      <c r="H13" s="80">
        <v>0.45</v>
      </c>
    </row>
    <row r="14" spans="1:8" ht="15.75" x14ac:dyDescent="0.3">
      <c r="A14" s="37"/>
      <c r="B14" s="43" t="s">
        <v>129</v>
      </c>
      <c r="C14" s="36" t="s">
        <v>262</v>
      </c>
      <c r="D14" s="71">
        <f t="shared" si="0"/>
        <v>110</v>
      </c>
      <c r="E14" s="71">
        <f t="shared" si="1"/>
        <v>0</v>
      </c>
      <c r="F14" s="72">
        <f t="shared" si="2"/>
        <v>0</v>
      </c>
      <c r="G14" s="80"/>
      <c r="H14" s="80">
        <v>110</v>
      </c>
    </row>
    <row r="15" spans="1:8" ht="15.75" x14ac:dyDescent="0.3">
      <c r="A15" s="37"/>
      <c r="B15" s="43"/>
      <c r="C15" s="36"/>
      <c r="D15" s="71"/>
      <c r="E15" s="71"/>
      <c r="F15" s="72"/>
      <c r="G15" s="80"/>
      <c r="H15" s="80"/>
    </row>
    <row r="16" spans="1:8" x14ac:dyDescent="0.25">
      <c r="A16" s="39"/>
      <c r="B16" s="40" t="s">
        <v>122</v>
      </c>
      <c r="C16" s="41" t="s">
        <v>416</v>
      </c>
      <c r="D16" s="71">
        <f t="shared" ref="D16:D19" si="3">G16+H16</f>
        <v>0</v>
      </c>
      <c r="E16" s="71">
        <f t="shared" ref="E16:E19" si="4">A16*D16</f>
        <v>0</v>
      </c>
      <c r="F16" s="72">
        <f t="shared" ref="F16:F19" si="5">G16/50</f>
        <v>0</v>
      </c>
      <c r="G16" s="80"/>
      <c r="H16" s="80"/>
    </row>
    <row r="17" spans="1:8" x14ac:dyDescent="0.25">
      <c r="A17" s="39"/>
      <c r="B17" s="40"/>
      <c r="C17" s="41" t="s">
        <v>419</v>
      </c>
      <c r="D17" s="71">
        <f t="shared" si="3"/>
        <v>0</v>
      </c>
      <c r="E17" s="71">
        <f t="shared" si="4"/>
        <v>0</v>
      </c>
      <c r="F17" s="72">
        <f t="shared" si="5"/>
        <v>0</v>
      </c>
      <c r="G17" s="80"/>
      <c r="H17" s="80"/>
    </row>
    <row r="18" spans="1:8" x14ac:dyDescent="0.25">
      <c r="B18" s="40" t="s">
        <v>122</v>
      </c>
      <c r="C18" s="36" t="s">
        <v>417</v>
      </c>
      <c r="D18" s="71">
        <f t="shared" si="3"/>
        <v>0</v>
      </c>
      <c r="E18" s="71">
        <f t="shared" si="4"/>
        <v>0</v>
      </c>
      <c r="F18" s="72">
        <f t="shared" si="5"/>
        <v>0</v>
      </c>
      <c r="G18" s="80"/>
      <c r="H18" s="80"/>
    </row>
    <row r="19" spans="1:8" x14ac:dyDescent="0.25">
      <c r="B19" s="40" t="s">
        <v>122</v>
      </c>
      <c r="C19" s="36" t="s">
        <v>418</v>
      </c>
      <c r="D19" s="71">
        <f t="shared" si="3"/>
        <v>0</v>
      </c>
      <c r="E19" s="71">
        <f t="shared" si="4"/>
        <v>0</v>
      </c>
      <c r="F19" s="72">
        <f t="shared" si="5"/>
        <v>0</v>
      </c>
      <c r="G19" s="80"/>
      <c r="H19" s="80"/>
    </row>
    <row r="20" spans="1:8" x14ac:dyDescent="0.25">
      <c r="B20" s="40"/>
      <c r="E20" s="74"/>
      <c r="F20" s="73"/>
    </row>
    <row r="21" spans="1:8" x14ac:dyDescent="0.25">
      <c r="B21" s="40"/>
      <c r="E21" s="74"/>
      <c r="F21" s="73"/>
    </row>
    <row r="22" spans="1:8" x14ac:dyDescent="0.25">
      <c r="B22" s="40"/>
      <c r="E22" s="74"/>
      <c r="F22" s="73"/>
    </row>
    <row r="45" spans="6:12" x14ac:dyDescent="0.25">
      <c r="F45" s="75"/>
      <c r="L45" s="20"/>
    </row>
    <row r="49" spans="1:21" ht="15.75" x14ac:dyDescent="0.3">
      <c r="E49" s="76"/>
      <c r="F49" s="77"/>
      <c r="G49" s="76"/>
      <c r="H49" s="76"/>
      <c r="I49" s="1"/>
      <c r="J49" s="1"/>
      <c r="K49" s="1"/>
    </row>
    <row r="51" spans="1:21" ht="15.75" x14ac:dyDescent="0.3">
      <c r="A51" s="1"/>
      <c r="B51" s="1"/>
      <c r="C51" s="2"/>
      <c r="D51" s="76"/>
      <c r="E51" s="76"/>
      <c r="F51" s="77"/>
      <c r="G51" s="78"/>
      <c r="H51" s="78"/>
      <c r="I51" s="142"/>
      <c r="J51" s="142"/>
      <c r="K51" s="142"/>
      <c r="L51" s="7"/>
      <c r="M51" s="142"/>
      <c r="N51" s="142"/>
      <c r="O51" s="142"/>
      <c r="P51" s="1"/>
      <c r="Q51" s="1"/>
      <c r="R51" s="7"/>
      <c r="S51" s="35"/>
      <c r="T51" s="15"/>
      <c r="U51" s="1"/>
    </row>
    <row r="52" spans="1:21" ht="15.75" x14ac:dyDescent="0.3">
      <c r="A52" s="1"/>
      <c r="B52" s="1"/>
      <c r="C52" s="2"/>
      <c r="D52" s="76"/>
      <c r="E52" s="76"/>
      <c r="F52" s="77"/>
      <c r="G52" s="76"/>
      <c r="H52" s="76"/>
      <c r="I52" s="5"/>
      <c r="J52" s="5"/>
      <c r="K52" s="5"/>
      <c r="L52" s="1"/>
      <c r="M52" s="8"/>
      <c r="N52" s="143"/>
      <c r="O52" s="143"/>
      <c r="P52" s="1"/>
      <c r="Q52" s="1"/>
      <c r="R52" s="1"/>
      <c r="S52" s="15"/>
      <c r="T52" s="1"/>
      <c r="U52" s="1"/>
    </row>
    <row r="53" spans="1:21" ht="15.75" x14ac:dyDescent="0.3">
      <c r="A53" s="1"/>
      <c r="B53" s="1"/>
      <c r="C53" s="2"/>
      <c r="D53" s="76"/>
      <c r="E53" s="76"/>
      <c r="F53" s="77"/>
      <c r="G53" s="76"/>
      <c r="H53" s="7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x14ac:dyDescent="0.3">
      <c r="A54" s="1"/>
      <c r="B54" s="1"/>
      <c r="C54" s="2"/>
      <c r="D54" s="76"/>
      <c r="E54" s="76"/>
      <c r="F54" s="77"/>
      <c r="G54" s="76"/>
      <c r="H54" s="7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x14ac:dyDescent="0.3">
      <c r="A55" s="1"/>
      <c r="B55" s="1"/>
      <c r="C55" s="2"/>
      <c r="D55" s="76"/>
      <c r="E55" s="76"/>
      <c r="F55" s="77"/>
      <c r="G55" s="76"/>
      <c r="H55" s="7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x14ac:dyDescent="0.3">
      <c r="A56" s="1"/>
      <c r="B56" s="1"/>
      <c r="C56" s="2"/>
      <c r="D56" s="76"/>
      <c r="E56" s="76"/>
      <c r="F56" s="77"/>
      <c r="G56" s="76"/>
      <c r="H56" s="7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x14ac:dyDescent="0.3">
      <c r="A57" s="1"/>
      <c r="B57" s="1"/>
      <c r="C57" s="2"/>
      <c r="D57" s="76"/>
      <c r="E57" s="76"/>
      <c r="F57" s="77"/>
      <c r="G57" s="76"/>
      <c r="H57" s="7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x14ac:dyDescent="0.3">
      <c r="A58" s="1"/>
      <c r="B58" s="1"/>
      <c r="C58" s="2"/>
      <c r="D58" s="76"/>
      <c r="E58" s="76"/>
      <c r="F58" s="77"/>
      <c r="G58" s="76"/>
      <c r="H58" s="7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x14ac:dyDescent="0.3">
      <c r="A59" s="1"/>
      <c r="B59" s="1"/>
      <c r="C59" s="2"/>
      <c r="D59" s="76"/>
      <c r="E59" s="76"/>
      <c r="F59" s="77"/>
      <c r="G59" s="76"/>
      <c r="H59" s="7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x14ac:dyDescent="0.3">
      <c r="A60" s="1"/>
    </row>
  </sheetData>
  <mergeCells count="3">
    <mergeCell ref="I51:K51"/>
    <mergeCell ref="M51:O51"/>
    <mergeCell ref="N52:O52"/>
  </mergeCells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0"/>
  <sheetViews>
    <sheetView zoomScaleNormal="100" workbookViewId="0">
      <selection activeCell="H4" sqref="H4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21" s="20" customFormat="1" x14ac:dyDescent="0.25">
      <c r="A1"/>
      <c r="B1"/>
      <c r="C1"/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  <c r="K1"/>
      <c r="L1"/>
      <c r="M1"/>
      <c r="N1"/>
      <c r="O1"/>
      <c r="P1"/>
      <c r="Q1"/>
      <c r="R1"/>
      <c r="S1"/>
      <c r="T1"/>
      <c r="U1"/>
    </row>
    <row r="2" spans="1:21" x14ac:dyDescent="0.25">
      <c r="C2" s="48" t="s">
        <v>234</v>
      </c>
      <c r="G2" s="83"/>
      <c r="H2" s="83"/>
    </row>
    <row r="3" spans="1:21" ht="15.75" x14ac:dyDescent="0.3">
      <c r="A3" s="38"/>
      <c r="B3" s="46" t="s">
        <v>129</v>
      </c>
      <c r="C3" s="36" t="s">
        <v>149</v>
      </c>
      <c r="D3" s="86">
        <f>H3</f>
        <v>55</v>
      </c>
      <c r="E3" s="86">
        <f>H3*A3</f>
        <v>0</v>
      </c>
      <c r="F3" s="86">
        <f>A3</f>
        <v>0</v>
      </c>
      <c r="G3" s="84"/>
      <c r="H3" s="85">
        <v>55</v>
      </c>
      <c r="I3" s="20"/>
      <c r="J3" s="20"/>
      <c r="K3" s="20"/>
      <c r="L3" s="20"/>
    </row>
    <row r="4" spans="1:21" ht="15.75" x14ac:dyDescent="0.3">
      <c r="B4" s="46" t="s">
        <v>150</v>
      </c>
      <c r="C4" s="36" t="s">
        <v>151</v>
      </c>
      <c r="D4" s="86">
        <f t="shared" ref="D4:D8" si="0">H4</f>
        <v>115</v>
      </c>
      <c r="E4" s="86">
        <f t="shared" ref="E4:E8" si="1">H4*A4</f>
        <v>0</v>
      </c>
      <c r="F4" s="18"/>
      <c r="G4" s="83"/>
      <c r="H4" s="85">
        <v>115</v>
      </c>
      <c r="L4" s="19"/>
    </row>
    <row r="5" spans="1:21" ht="15.75" x14ac:dyDescent="0.3">
      <c r="B5" s="46" t="s">
        <v>122</v>
      </c>
      <c r="C5" s="36" t="s">
        <v>152</v>
      </c>
      <c r="D5" s="86">
        <f t="shared" si="0"/>
        <v>250</v>
      </c>
      <c r="E5" s="86">
        <f t="shared" si="1"/>
        <v>0</v>
      </c>
      <c r="G5" s="83"/>
      <c r="H5" s="85">
        <v>250</v>
      </c>
      <c r="L5" s="19"/>
    </row>
    <row r="6" spans="1:21" ht="15.75" x14ac:dyDescent="0.3">
      <c r="B6" s="46" t="s">
        <v>153</v>
      </c>
      <c r="C6" s="36" t="s">
        <v>154</v>
      </c>
      <c r="D6" s="86">
        <f t="shared" si="0"/>
        <v>161</v>
      </c>
      <c r="E6" s="86">
        <f t="shared" si="1"/>
        <v>0</v>
      </c>
      <c r="G6" s="83"/>
      <c r="H6" s="85">
        <f>140*1.15</f>
        <v>161</v>
      </c>
      <c r="L6" s="19"/>
    </row>
    <row r="7" spans="1:21" ht="15.75" x14ac:dyDescent="0.3">
      <c r="B7" s="46" t="s">
        <v>153</v>
      </c>
      <c r="C7" s="36" t="s">
        <v>155</v>
      </c>
      <c r="D7" s="86">
        <f t="shared" si="0"/>
        <v>150</v>
      </c>
      <c r="E7" s="86">
        <f t="shared" si="1"/>
        <v>0</v>
      </c>
      <c r="G7" s="83"/>
      <c r="H7" s="85">
        <v>150</v>
      </c>
      <c r="L7" s="19"/>
    </row>
    <row r="8" spans="1:21" ht="15.75" x14ac:dyDescent="0.3">
      <c r="B8" s="46" t="s">
        <v>153</v>
      </c>
      <c r="C8" s="36" t="s">
        <v>260</v>
      </c>
      <c r="D8" s="86">
        <f t="shared" si="0"/>
        <v>60</v>
      </c>
      <c r="E8" s="86">
        <f t="shared" si="1"/>
        <v>0</v>
      </c>
      <c r="G8" s="83"/>
      <c r="H8" s="85">
        <v>60</v>
      </c>
      <c r="L8" s="19"/>
    </row>
    <row r="9" spans="1:21" x14ac:dyDescent="0.25">
      <c r="L9" s="19"/>
    </row>
    <row r="10" spans="1:21" x14ac:dyDescent="0.25">
      <c r="L10" s="19"/>
    </row>
    <row r="11" spans="1:21" x14ac:dyDescent="0.25">
      <c r="L11" s="19"/>
    </row>
    <row r="12" spans="1:21" x14ac:dyDescent="0.25">
      <c r="L12" s="19"/>
    </row>
    <row r="13" spans="1:21" x14ac:dyDescent="0.25">
      <c r="D13" s="20"/>
      <c r="L13" s="19"/>
    </row>
    <row r="14" spans="1:21" x14ac:dyDescent="0.25">
      <c r="D14" s="20"/>
      <c r="L14" s="19"/>
    </row>
    <row r="15" spans="1:21" x14ac:dyDescent="0.25">
      <c r="L15" s="19"/>
    </row>
    <row r="16" spans="1:21" x14ac:dyDescent="0.25">
      <c r="L16" s="19"/>
    </row>
    <row r="17" spans="4:12" x14ac:dyDescent="0.25">
      <c r="L17" s="19"/>
    </row>
    <row r="18" spans="4:12" x14ac:dyDescent="0.25">
      <c r="L18" s="19"/>
    </row>
    <row r="19" spans="4:12" x14ac:dyDescent="0.25">
      <c r="D19" s="20"/>
      <c r="L19" s="19"/>
    </row>
    <row r="20" spans="4:12" x14ac:dyDescent="0.25">
      <c r="D20" s="20"/>
      <c r="G20" s="20"/>
      <c r="L20" s="19"/>
    </row>
    <row r="21" spans="4:12" x14ac:dyDescent="0.25">
      <c r="L21" s="19"/>
    </row>
    <row r="22" spans="4:12" x14ac:dyDescent="0.25">
      <c r="L22" s="19"/>
    </row>
    <row r="23" spans="4:12" x14ac:dyDescent="0.25">
      <c r="L23" s="19"/>
    </row>
    <row r="24" spans="4:12" x14ac:dyDescent="0.25">
      <c r="L24" s="19"/>
    </row>
    <row r="25" spans="4:12" x14ac:dyDescent="0.25">
      <c r="L25" s="19"/>
    </row>
    <row r="26" spans="4:12" x14ac:dyDescent="0.25">
      <c r="D26" s="20"/>
      <c r="L26" s="19"/>
    </row>
    <row r="27" spans="4:12" x14ac:dyDescent="0.25">
      <c r="D27" s="20"/>
      <c r="L27" s="19"/>
    </row>
    <row r="28" spans="4:12" x14ac:dyDescent="0.25">
      <c r="L28" s="19"/>
    </row>
    <row r="29" spans="4:12" x14ac:dyDescent="0.25">
      <c r="L29" s="19"/>
    </row>
    <row r="30" spans="4:12" x14ac:dyDescent="0.25">
      <c r="L30" s="19"/>
    </row>
    <row r="31" spans="4:12" x14ac:dyDescent="0.25">
      <c r="L31" s="19"/>
    </row>
    <row r="32" spans="4:12" x14ac:dyDescent="0.25">
      <c r="L32" s="19"/>
    </row>
    <row r="33" spans="4:14" x14ac:dyDescent="0.25">
      <c r="D33" s="20"/>
      <c r="L33" s="19"/>
    </row>
    <row r="34" spans="4:14" x14ac:dyDescent="0.25">
      <c r="L34" s="19"/>
    </row>
    <row r="35" spans="4:14" x14ac:dyDescent="0.25">
      <c r="L35" s="19"/>
    </row>
    <row r="36" spans="4:14" x14ac:dyDescent="0.25">
      <c r="L36" s="19"/>
    </row>
    <row r="37" spans="4:14" x14ac:dyDescent="0.25">
      <c r="L37" s="19"/>
    </row>
    <row r="38" spans="4:14" x14ac:dyDescent="0.25">
      <c r="J38" s="20"/>
      <c r="L38" s="19"/>
    </row>
    <row r="39" spans="4:14" x14ac:dyDescent="0.25">
      <c r="L39" s="19"/>
    </row>
    <row r="40" spans="4:14" x14ac:dyDescent="0.25">
      <c r="L40" s="19"/>
    </row>
    <row r="41" spans="4:14" x14ac:dyDescent="0.25">
      <c r="L41" s="19"/>
    </row>
    <row r="42" spans="4:14" x14ac:dyDescent="0.25">
      <c r="D42" s="20"/>
      <c r="G42" s="20"/>
      <c r="L42" s="19"/>
    </row>
    <row r="43" spans="4:14" x14ac:dyDescent="0.25">
      <c r="J43" s="20"/>
      <c r="L43" s="19"/>
    </row>
    <row r="44" spans="4:14" x14ac:dyDescent="0.25">
      <c r="L44" s="19"/>
    </row>
    <row r="45" spans="4:14" x14ac:dyDescent="0.25">
      <c r="F45" s="33"/>
      <c r="G45" s="34"/>
      <c r="L45" s="19"/>
      <c r="N45" s="20"/>
    </row>
    <row r="49" spans="1:23" ht="15.75" x14ac:dyDescent="0.3">
      <c r="E49" s="1"/>
      <c r="F49" s="1"/>
      <c r="G49" s="1"/>
      <c r="H49" s="1"/>
      <c r="I49" s="1"/>
      <c r="J49" s="1"/>
      <c r="K49" s="1"/>
      <c r="L49" s="1"/>
      <c r="M49" s="1"/>
    </row>
    <row r="51" spans="1:23" ht="15.75" x14ac:dyDescent="0.3">
      <c r="A51" s="1"/>
      <c r="B51" s="1"/>
      <c r="C51" s="2"/>
      <c r="D51" s="1"/>
      <c r="E51" s="1"/>
      <c r="F51" s="1"/>
      <c r="G51" s="7"/>
      <c r="H51" s="7"/>
      <c r="I51" s="7"/>
      <c r="J51" s="7"/>
      <c r="K51" s="142"/>
      <c r="L51" s="142"/>
      <c r="M51" s="142"/>
      <c r="N51" s="7"/>
      <c r="O51" s="142"/>
      <c r="P51" s="142"/>
      <c r="Q51" s="142"/>
      <c r="R51" s="1"/>
      <c r="S51" s="1"/>
      <c r="T51" s="7"/>
      <c r="U51" s="35"/>
      <c r="V51" s="15"/>
      <c r="W51" s="1"/>
    </row>
    <row r="52" spans="1:23" ht="15.75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5"/>
      <c r="L52" s="5"/>
      <c r="M52" s="5"/>
      <c r="N52" s="1"/>
      <c r="O52" s="8"/>
      <c r="P52" s="143"/>
      <c r="Q52" s="143"/>
      <c r="R52" s="1"/>
      <c r="S52" s="1"/>
      <c r="T52" s="1"/>
      <c r="U52" s="15"/>
      <c r="V52" s="1"/>
      <c r="W52" s="1"/>
    </row>
    <row r="53" spans="1:23" ht="15.75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3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3">
      <c r="A60" s="1"/>
    </row>
  </sheetData>
  <mergeCells count="3">
    <mergeCell ref="K51:M51"/>
    <mergeCell ref="O51:Q51"/>
    <mergeCell ref="P52:Q5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"/>
  <sheetViews>
    <sheetView zoomScaleNormal="100" workbookViewId="0">
      <selection activeCell="E3" sqref="E3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9" customWidth="1"/>
    <col min="8" max="8" width="10.85546875" style="79"/>
    <col min="9" max="10" width="10.85546875" style="20"/>
  </cols>
  <sheetData>
    <row r="1" spans="1:21" x14ac:dyDescent="0.25"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</row>
    <row r="2" spans="1:21" x14ac:dyDescent="0.25">
      <c r="C2" s="48" t="s">
        <v>499</v>
      </c>
      <c r="D2"/>
      <c r="E2"/>
      <c r="G2" s="80"/>
      <c r="H2" s="80"/>
    </row>
    <row r="3" spans="1:21" ht="15.75" x14ac:dyDescent="0.3">
      <c r="B3" s="46" t="s">
        <v>35</v>
      </c>
      <c r="C3" s="36" t="s">
        <v>221</v>
      </c>
      <c r="D3" s="52">
        <f>G3+H3</f>
        <v>0</v>
      </c>
      <c r="E3" s="52">
        <v>29.01</v>
      </c>
      <c r="F3" s="72">
        <f t="shared" ref="F3:F15" si="0">G3/50</f>
        <v>0</v>
      </c>
      <c r="G3" s="80"/>
      <c r="H3" s="80"/>
    </row>
    <row r="4" spans="1:21" ht="15.75" x14ac:dyDescent="0.3">
      <c r="B4" s="46" t="s">
        <v>35</v>
      </c>
      <c r="C4" s="36" t="s">
        <v>222</v>
      </c>
      <c r="D4" s="52">
        <f t="shared" ref="D4:D12" si="1">G4+H4</f>
        <v>0</v>
      </c>
      <c r="E4" s="52">
        <v>16.61</v>
      </c>
      <c r="F4" s="72">
        <f t="shared" si="0"/>
        <v>0</v>
      </c>
    </row>
    <row r="5" spans="1:21" ht="15.75" x14ac:dyDescent="0.3">
      <c r="B5" s="46" t="s">
        <v>35</v>
      </c>
      <c r="C5" s="36" t="s">
        <v>223</v>
      </c>
      <c r="D5" s="52">
        <f t="shared" si="1"/>
        <v>0</v>
      </c>
      <c r="E5" s="52">
        <v>63.19</v>
      </c>
      <c r="F5" s="72">
        <f t="shared" si="0"/>
        <v>0</v>
      </c>
    </row>
    <row r="6" spans="1:21" ht="15.75" x14ac:dyDescent="0.3">
      <c r="B6" s="46" t="s">
        <v>35</v>
      </c>
      <c r="C6" s="36" t="s">
        <v>224</v>
      </c>
      <c r="D6" s="52">
        <f t="shared" si="1"/>
        <v>0</v>
      </c>
      <c r="E6" s="52">
        <v>18</v>
      </c>
      <c r="F6" s="72">
        <f t="shared" si="0"/>
        <v>0</v>
      </c>
      <c r="L6" s="20"/>
    </row>
    <row r="7" spans="1:21" ht="15.75" x14ac:dyDescent="0.3">
      <c r="B7" s="46" t="s">
        <v>35</v>
      </c>
      <c r="C7" s="36" t="s">
        <v>214</v>
      </c>
      <c r="D7" s="52">
        <f t="shared" si="1"/>
        <v>0</v>
      </c>
      <c r="E7" s="52">
        <v>11</v>
      </c>
      <c r="F7" s="72">
        <f t="shared" si="0"/>
        <v>0</v>
      </c>
    </row>
    <row r="8" spans="1:21" ht="15.75" x14ac:dyDescent="0.3">
      <c r="B8" s="46" t="s">
        <v>35</v>
      </c>
      <c r="C8" s="36" t="s">
        <v>225</v>
      </c>
      <c r="D8" s="52">
        <f t="shared" si="1"/>
        <v>0</v>
      </c>
      <c r="E8" s="52">
        <v>12</v>
      </c>
      <c r="F8" s="72">
        <f t="shared" si="0"/>
        <v>0</v>
      </c>
    </row>
    <row r="9" spans="1:21" ht="15.75" x14ac:dyDescent="0.3">
      <c r="B9" s="49" t="s">
        <v>24</v>
      </c>
      <c r="C9" s="39" t="s">
        <v>208</v>
      </c>
      <c r="D9" s="52">
        <f t="shared" si="1"/>
        <v>0</v>
      </c>
      <c r="E9" s="53">
        <v>16</v>
      </c>
      <c r="F9" s="72">
        <f t="shared" si="0"/>
        <v>0</v>
      </c>
    </row>
    <row r="10" spans="1:21" ht="15.75" x14ac:dyDescent="0.3">
      <c r="B10" s="46" t="s">
        <v>24</v>
      </c>
      <c r="C10" s="36" t="s">
        <v>226</v>
      </c>
      <c r="D10" s="52">
        <f t="shared" si="1"/>
        <v>0</v>
      </c>
      <c r="E10" s="52">
        <v>20.100000000000001</v>
      </c>
      <c r="F10" s="72">
        <f t="shared" si="0"/>
        <v>0</v>
      </c>
      <c r="G10" s="81"/>
      <c r="H10" s="81"/>
      <c r="I10" s="1"/>
      <c r="J10" s="1"/>
      <c r="K10" s="1"/>
    </row>
    <row r="11" spans="1:21" ht="15.75" x14ac:dyDescent="0.3">
      <c r="B11" s="46" t="s">
        <v>24</v>
      </c>
      <c r="C11" s="36" t="s">
        <v>227</v>
      </c>
      <c r="D11" s="52">
        <f t="shared" si="1"/>
        <v>0</v>
      </c>
      <c r="E11" s="52">
        <v>50</v>
      </c>
      <c r="F11" s="72">
        <f t="shared" si="0"/>
        <v>0</v>
      </c>
    </row>
    <row r="12" spans="1:21" ht="15.75" x14ac:dyDescent="0.3">
      <c r="A12" s="1"/>
      <c r="B12" s="46" t="s">
        <v>24</v>
      </c>
      <c r="C12" s="36" t="s">
        <v>229</v>
      </c>
      <c r="D12" s="52">
        <f t="shared" si="1"/>
        <v>0</v>
      </c>
      <c r="E12" s="52">
        <f>(55*1.2+55)/11.5</f>
        <v>10.521739130434783</v>
      </c>
      <c r="F12" s="72">
        <f t="shared" si="0"/>
        <v>0</v>
      </c>
      <c r="G12" s="82"/>
      <c r="H12" s="82"/>
      <c r="I12" s="142"/>
      <c r="J12" s="142"/>
      <c r="K12" s="142"/>
      <c r="L12" s="7"/>
      <c r="M12" s="142"/>
      <c r="N12" s="142"/>
      <c r="O12" s="142"/>
      <c r="P12" s="1"/>
      <c r="Q12" s="1"/>
      <c r="R12" s="7"/>
      <c r="S12" s="35"/>
      <c r="T12" s="15"/>
      <c r="U12" s="1"/>
    </row>
    <row r="13" spans="1:21" ht="15.75" x14ac:dyDescent="0.3">
      <c r="A13" s="1"/>
      <c r="B13" s="46" t="s">
        <v>24</v>
      </c>
      <c r="C13" s="36" t="s">
        <v>66</v>
      </c>
      <c r="D13" s="71">
        <f>G13+H13</f>
        <v>65</v>
      </c>
      <c r="E13" s="71">
        <f>A17*D13</f>
        <v>0</v>
      </c>
      <c r="F13" s="72">
        <f>G13/50</f>
        <v>1</v>
      </c>
      <c r="G13" s="80">
        <v>50</v>
      </c>
      <c r="H13" s="80">
        <v>15</v>
      </c>
      <c r="I13" s="69"/>
      <c r="J13" s="69"/>
      <c r="K13" s="69"/>
      <c r="L13" s="7"/>
      <c r="M13" s="69"/>
      <c r="N13" s="69"/>
      <c r="O13" s="69"/>
      <c r="P13" s="1"/>
      <c r="Q13" s="1"/>
      <c r="R13" s="7"/>
      <c r="S13" s="35"/>
      <c r="T13" s="15"/>
      <c r="U13" s="1"/>
    </row>
    <row r="14" spans="1:21" ht="15.75" x14ac:dyDescent="0.3">
      <c r="A14" s="1"/>
      <c r="B14" s="46"/>
      <c r="C14" s="36"/>
      <c r="D14" s="71"/>
      <c r="E14" s="71"/>
      <c r="F14" s="72"/>
      <c r="G14" s="80"/>
      <c r="H14" s="80"/>
      <c r="I14" s="69"/>
      <c r="J14" s="69"/>
      <c r="K14" s="69"/>
      <c r="L14" s="7"/>
      <c r="M14" s="69"/>
      <c r="N14" s="69"/>
      <c r="O14" s="69"/>
      <c r="P14" s="1"/>
      <c r="Q14" s="1"/>
      <c r="R14" s="7"/>
      <c r="S14" s="35"/>
      <c r="T14" s="15"/>
      <c r="U14" s="1"/>
    </row>
    <row r="15" spans="1:21" ht="15.75" x14ac:dyDescent="0.3">
      <c r="A15" s="1"/>
      <c r="B15" s="46" t="s">
        <v>177</v>
      </c>
      <c r="C15" s="36" t="s">
        <v>270</v>
      </c>
      <c r="D15"/>
      <c r="E15" s="52">
        <v>60</v>
      </c>
      <c r="F15" s="72">
        <f t="shared" si="0"/>
        <v>0</v>
      </c>
      <c r="G15" s="82"/>
      <c r="H15" s="82"/>
      <c r="I15" s="69"/>
      <c r="J15" s="69"/>
      <c r="K15" s="69"/>
      <c r="L15" s="7"/>
      <c r="M15" s="69"/>
      <c r="N15" s="69"/>
      <c r="O15" s="69"/>
      <c r="P15" s="1"/>
      <c r="Q15" s="1"/>
      <c r="R15" s="7"/>
      <c r="S15" s="35"/>
      <c r="T15" s="15"/>
      <c r="U15" s="1"/>
    </row>
    <row r="16" spans="1:21" ht="15.75" x14ac:dyDescent="0.3">
      <c r="A16" s="1"/>
      <c r="B16" s="46"/>
      <c r="C16" s="36"/>
      <c r="D16"/>
      <c r="E16" s="52"/>
      <c r="F16" s="77"/>
      <c r="G16" s="82"/>
      <c r="H16" s="82"/>
      <c r="I16" s="69"/>
      <c r="J16" s="69"/>
      <c r="K16" s="69"/>
      <c r="L16" s="7"/>
      <c r="M16" s="69"/>
      <c r="N16" s="69"/>
      <c r="O16" s="69"/>
      <c r="P16" s="1"/>
      <c r="Q16" s="1"/>
      <c r="R16" s="7"/>
      <c r="S16" s="35"/>
      <c r="T16" s="15"/>
      <c r="U16" s="1"/>
    </row>
    <row r="17" spans="2:8" x14ac:dyDescent="0.25">
      <c r="C17" s="48" t="s">
        <v>271</v>
      </c>
      <c r="D17"/>
      <c r="E17"/>
      <c r="F17"/>
      <c r="G17" s="83"/>
      <c r="H17" s="83"/>
    </row>
    <row r="18" spans="2:8" x14ac:dyDescent="0.25">
      <c r="B18" s="46" t="s">
        <v>24</v>
      </c>
      <c r="C18" s="36" t="s">
        <v>157</v>
      </c>
      <c r="D18" s="71">
        <f t="shared" ref="D18:D23" si="2">G18+H18</f>
        <v>9.2940000000000005</v>
      </c>
      <c r="E18" s="71">
        <f t="shared" ref="E18:E23" si="3">A18*D18</f>
        <v>0</v>
      </c>
      <c r="F18" s="72">
        <f>G18/50</f>
        <v>7.4999999999999997E-2</v>
      </c>
      <c r="G18" s="80">
        <f>0.05*75</f>
        <v>3.75</v>
      </c>
      <c r="H18" s="80">
        <f>0.25*1.1*1.12*18</f>
        <v>5.5440000000000005</v>
      </c>
    </row>
    <row r="19" spans="2:8" x14ac:dyDescent="0.25">
      <c r="B19" s="46" t="s">
        <v>24</v>
      </c>
      <c r="C19" s="36" t="s">
        <v>230</v>
      </c>
      <c r="D19" s="71">
        <f t="shared" si="2"/>
        <v>15.588000000000001</v>
      </c>
      <c r="E19" s="71">
        <f>A19*D19</f>
        <v>0</v>
      </c>
      <c r="F19" s="72">
        <f t="shared" ref="F19:F23" si="4">G19/50</f>
        <v>0.09</v>
      </c>
      <c r="G19" s="80">
        <f>0.06*75</f>
        <v>4.5</v>
      </c>
      <c r="H19" s="80">
        <f>0.5*1.1*1.12*18</f>
        <v>11.088000000000001</v>
      </c>
    </row>
    <row r="20" spans="2:8" x14ac:dyDescent="0.25">
      <c r="B20" s="46" t="s">
        <v>24</v>
      </c>
      <c r="C20" s="36" t="s">
        <v>158</v>
      </c>
      <c r="D20" s="71">
        <f t="shared" si="2"/>
        <v>6.9460000000000006</v>
      </c>
      <c r="E20" s="71">
        <f t="shared" si="3"/>
        <v>0</v>
      </c>
      <c r="F20" s="72">
        <f t="shared" si="4"/>
        <v>6.5000000000000002E-2</v>
      </c>
      <c r="G20" s="80">
        <f>0.05*65</f>
        <v>3.25</v>
      </c>
      <c r="H20" s="80">
        <f>20*0.15*1.12*1.1</f>
        <v>3.6960000000000006</v>
      </c>
    </row>
    <row r="21" spans="2:8" x14ac:dyDescent="0.25">
      <c r="B21" s="46" t="s">
        <v>150</v>
      </c>
      <c r="C21" s="36" t="s">
        <v>159</v>
      </c>
      <c r="D21" s="71">
        <f t="shared" si="2"/>
        <v>452.12799999999999</v>
      </c>
      <c r="E21" s="71">
        <f t="shared" si="3"/>
        <v>0</v>
      </c>
      <c r="F21" s="72">
        <f t="shared" si="4"/>
        <v>6</v>
      </c>
      <c r="G21" s="80">
        <f>3*2*50</f>
        <v>300</v>
      </c>
      <c r="H21" s="80">
        <f>2*(6+16+6)*1.12*1.15+80</f>
        <v>152.12799999999999</v>
      </c>
    </row>
    <row r="22" spans="2:8" x14ac:dyDescent="0.25">
      <c r="B22" s="46" t="s">
        <v>24</v>
      </c>
      <c r="C22" s="36" t="s">
        <v>160</v>
      </c>
      <c r="D22" s="71">
        <f>G22+H22</f>
        <v>7.0656000000000008</v>
      </c>
      <c r="E22" s="71">
        <f>A21*D22</f>
        <v>0</v>
      </c>
      <c r="F22" s="72">
        <f>G22/50</f>
        <v>0.06</v>
      </c>
      <c r="G22" s="80">
        <f>0.06*50</f>
        <v>3</v>
      </c>
      <c r="H22" s="80">
        <f>22*0.15*1.12*1.1</f>
        <v>4.0656000000000008</v>
      </c>
    </row>
    <row r="23" spans="2:8" x14ac:dyDescent="0.25">
      <c r="B23" s="46" t="s">
        <v>24</v>
      </c>
      <c r="C23" s="36" t="s">
        <v>247</v>
      </c>
      <c r="D23" s="71">
        <f t="shared" si="2"/>
        <v>10.9552</v>
      </c>
      <c r="E23" s="71">
        <f t="shared" si="3"/>
        <v>0</v>
      </c>
      <c r="F23" s="72">
        <f t="shared" si="4"/>
        <v>0.08</v>
      </c>
      <c r="G23" s="80">
        <f>0.08*50</f>
        <v>4</v>
      </c>
      <c r="H23" s="80">
        <f>0.3*18*1.12*1.15</f>
        <v>6.9551999999999996</v>
      </c>
    </row>
    <row r="24" spans="2:8" x14ac:dyDescent="0.25">
      <c r="B24" s="46" t="s">
        <v>24</v>
      </c>
      <c r="C24" s="36" t="s">
        <v>442</v>
      </c>
    </row>
  </sheetData>
  <mergeCells count="2">
    <mergeCell ref="I12:K12"/>
    <mergeCell ref="M12:O12"/>
  </mergeCells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"/>
  <sheetViews>
    <sheetView zoomScaleNormal="100" workbookViewId="0">
      <selection activeCell="G25" sqref="G25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9" customWidth="1"/>
    <col min="8" max="8" width="10.85546875" style="79"/>
    <col min="9" max="10" width="10.85546875" style="20"/>
  </cols>
  <sheetData>
    <row r="1" spans="1:21" x14ac:dyDescent="0.25"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</row>
    <row r="2" spans="1:21" x14ac:dyDescent="0.25">
      <c r="C2" s="48" t="s">
        <v>241</v>
      </c>
      <c r="D2"/>
      <c r="E2"/>
      <c r="G2" s="80"/>
      <c r="H2" s="80"/>
    </row>
    <row r="3" spans="1:21" x14ac:dyDescent="0.25">
      <c r="B3" s="46" t="s">
        <v>35</v>
      </c>
      <c r="C3" s="36" t="s">
        <v>221</v>
      </c>
      <c r="D3" s="71">
        <f>G3+H3</f>
        <v>28.662749999999996</v>
      </c>
      <c r="E3" s="71">
        <f>A3*D3</f>
        <v>0</v>
      </c>
      <c r="F3" s="72">
        <f>G3/50*A3</f>
        <v>0</v>
      </c>
      <c r="G3" s="80">
        <f>0.19*52</f>
        <v>9.8800000000000008</v>
      </c>
      <c r="H3" s="80">
        <f>1.15*13.9*1.15+0.4</f>
        <v>18.782749999999997</v>
      </c>
    </row>
    <row r="4" spans="1:21" x14ac:dyDescent="0.25">
      <c r="B4" s="46" t="s">
        <v>35</v>
      </c>
      <c r="C4" s="36" t="s">
        <v>222</v>
      </c>
      <c r="D4" s="71">
        <f t="shared" ref="D4:D20" si="0">G4+H4</f>
        <v>16.320475000000002</v>
      </c>
      <c r="E4" s="71">
        <f t="shared" ref="E4:E30" si="1">A4*D4</f>
        <v>0</v>
      </c>
      <c r="F4" s="72">
        <f t="shared" ref="F4:F31" si="2">G4/50*A4</f>
        <v>0</v>
      </c>
      <c r="G4" s="80">
        <f>0.1*54</f>
        <v>5.4</v>
      </c>
      <c r="H4" s="80">
        <f>1+6.39*1.35*1.15</f>
        <v>10.920475</v>
      </c>
    </row>
    <row r="5" spans="1:21" x14ac:dyDescent="0.25">
      <c r="B5" s="46" t="s">
        <v>35</v>
      </c>
      <c r="C5" s="36" t="s">
        <v>455</v>
      </c>
      <c r="D5" s="71">
        <f t="shared" si="0"/>
        <v>67.58489999999999</v>
      </c>
      <c r="E5" s="71">
        <f t="shared" si="1"/>
        <v>0</v>
      </c>
      <c r="F5" s="72">
        <f t="shared" si="2"/>
        <v>0</v>
      </c>
      <c r="G5" s="80">
        <f>0.2*52</f>
        <v>10.4</v>
      </c>
      <c r="H5" s="80">
        <f>43.24*1.15*1.15</f>
        <v>57.184899999999992</v>
      </c>
    </row>
    <row r="6" spans="1:21" x14ac:dyDescent="0.25">
      <c r="B6" s="46" t="s">
        <v>35</v>
      </c>
      <c r="C6" s="36" t="s">
        <v>223</v>
      </c>
      <c r="D6" s="71">
        <f t="shared" si="0"/>
        <v>56.158499999999997</v>
      </c>
      <c r="E6" s="71">
        <f t="shared" si="1"/>
        <v>0</v>
      </c>
      <c r="F6" s="72">
        <f t="shared" si="2"/>
        <v>0</v>
      </c>
      <c r="G6" s="80">
        <f>0.2*52</f>
        <v>10.4</v>
      </c>
      <c r="H6" s="80">
        <f>34.6*1.15*1.15</f>
        <v>45.758499999999998</v>
      </c>
    </row>
    <row r="7" spans="1:21" x14ac:dyDescent="0.25">
      <c r="B7" s="46" t="s">
        <v>35</v>
      </c>
      <c r="C7" s="36" t="s">
        <v>456</v>
      </c>
      <c r="D7" s="71">
        <f t="shared" ref="D7" si="3">G7+H7</f>
        <v>19.782799999999998</v>
      </c>
      <c r="E7" s="71">
        <f t="shared" si="1"/>
        <v>0</v>
      </c>
      <c r="F7" s="72">
        <f t="shared" si="2"/>
        <v>0</v>
      </c>
      <c r="G7" s="80">
        <f>0.15*52</f>
        <v>7.8</v>
      </c>
      <c r="H7" s="80">
        <f>0.06*0.2*440*1.15*1.15+5</f>
        <v>11.982799999999999</v>
      </c>
    </row>
    <row r="8" spans="1:21" x14ac:dyDescent="0.25">
      <c r="B8" s="46" t="s">
        <v>35</v>
      </c>
      <c r="C8" s="36" t="s">
        <v>224</v>
      </c>
      <c r="D8" s="71">
        <f t="shared" si="0"/>
        <v>16.826239999999999</v>
      </c>
      <c r="E8" s="71">
        <f t="shared" si="1"/>
        <v>0</v>
      </c>
      <c r="F8" s="72">
        <f t="shared" si="2"/>
        <v>0</v>
      </c>
      <c r="G8" s="80">
        <f>0.12*52</f>
        <v>6.24</v>
      </c>
      <c r="H8" s="80">
        <f>0.06*0.16*440*1.15*1.15+5</f>
        <v>10.586239999999998</v>
      </c>
      <c r="L8" s="20"/>
    </row>
    <row r="9" spans="1:21" x14ac:dyDescent="0.25">
      <c r="B9" s="46" t="s">
        <v>35</v>
      </c>
      <c r="C9" s="36" t="s">
        <v>214</v>
      </c>
      <c r="D9" s="71">
        <f t="shared" si="0"/>
        <v>12.898153846153846</v>
      </c>
      <c r="E9" s="71">
        <f t="shared" si="1"/>
        <v>0</v>
      </c>
      <c r="F9" s="72">
        <f t="shared" si="2"/>
        <v>0</v>
      </c>
      <c r="G9" s="80">
        <f>0.12*54</f>
        <v>6.4799999999999995</v>
      </c>
      <c r="H9" s="80">
        <f>1/0.65*350*0.06*0.08*1.15*1.15+3</f>
        <v>6.4181538461538459</v>
      </c>
    </row>
    <row r="10" spans="1:21" x14ac:dyDescent="0.25">
      <c r="B10" s="46" t="s">
        <v>35</v>
      </c>
      <c r="C10" s="36" t="s">
        <v>225</v>
      </c>
      <c r="D10" s="71">
        <f>G10+H10</f>
        <v>13.685833333333333</v>
      </c>
      <c r="E10" s="71">
        <f t="shared" si="1"/>
        <v>0</v>
      </c>
      <c r="F10" s="72">
        <f t="shared" si="2"/>
        <v>0</v>
      </c>
      <c r="G10" s="80">
        <f>0.15*54</f>
        <v>8.1</v>
      </c>
      <c r="H10" s="80">
        <f>1/0.3*0.04*0.05*350*1.15*1.15+2.5</f>
        <v>5.5858333333333334</v>
      </c>
    </row>
    <row r="11" spans="1:21" x14ac:dyDescent="0.25">
      <c r="B11" s="46" t="s">
        <v>35</v>
      </c>
      <c r="C11" s="36" t="s">
        <v>459</v>
      </c>
      <c r="D11" s="71">
        <f>G11+H11</f>
        <v>20.674687499999997</v>
      </c>
      <c r="E11" s="71">
        <f t="shared" si="1"/>
        <v>0</v>
      </c>
      <c r="F11" s="72">
        <f t="shared" si="2"/>
        <v>0</v>
      </c>
      <c r="G11" s="80">
        <f>0.19*54</f>
        <v>10.26</v>
      </c>
      <c r="H11" s="80">
        <f>315*0.025*1.15*1.15</f>
        <v>10.414687499999998</v>
      </c>
    </row>
    <row r="12" spans="1:21" x14ac:dyDescent="0.25">
      <c r="B12" s="46" t="s">
        <v>35</v>
      </c>
      <c r="C12" s="36" t="s">
        <v>461</v>
      </c>
      <c r="D12" s="71">
        <f t="shared" ref="D12" si="4">G12+H12</f>
        <v>12.565249999999999</v>
      </c>
      <c r="E12" s="71">
        <f t="shared" si="1"/>
        <v>0</v>
      </c>
      <c r="F12" s="72">
        <f t="shared" si="2"/>
        <v>0</v>
      </c>
      <c r="G12" s="80">
        <f>0.1*52</f>
        <v>5.2</v>
      </c>
      <c r="H12" s="80">
        <f>1+4.1*1.35*1.15</f>
        <v>7.3652499999999996</v>
      </c>
    </row>
    <row r="13" spans="1:21" x14ac:dyDescent="0.25">
      <c r="B13" s="46" t="s">
        <v>24</v>
      </c>
      <c r="C13" s="36" t="s">
        <v>442</v>
      </c>
      <c r="D13" s="71">
        <f>G13+H13</f>
        <v>15.532416000000001</v>
      </c>
      <c r="E13" s="71">
        <f t="shared" si="1"/>
        <v>0</v>
      </c>
      <c r="F13" s="72">
        <f t="shared" si="2"/>
        <v>0</v>
      </c>
      <c r="G13" s="80">
        <f>0.2*52</f>
        <v>10.4</v>
      </c>
      <c r="H13" s="80">
        <f>0.08*0.08*380*1.15*1.12+2</f>
        <v>5.1324160000000001</v>
      </c>
    </row>
    <row r="14" spans="1:21" ht="15.75" x14ac:dyDescent="0.3">
      <c r="B14" s="46" t="s">
        <v>24</v>
      </c>
      <c r="C14" s="36" t="s">
        <v>226</v>
      </c>
      <c r="D14" s="71">
        <f t="shared" si="0"/>
        <v>13.129999999999999</v>
      </c>
      <c r="E14" s="71">
        <f t="shared" si="1"/>
        <v>0</v>
      </c>
      <c r="F14" s="72">
        <f t="shared" si="2"/>
        <v>0</v>
      </c>
      <c r="G14" s="80">
        <f>0.15*52</f>
        <v>7.8</v>
      </c>
      <c r="H14" s="80">
        <f>0.25*15*1.15*1.12+0.5</f>
        <v>5.33</v>
      </c>
      <c r="I14" s="1"/>
      <c r="J14" s="1"/>
      <c r="K14" s="1"/>
    </row>
    <row r="15" spans="1:21" x14ac:dyDescent="0.25">
      <c r="B15" s="46" t="s">
        <v>24</v>
      </c>
      <c r="C15" s="36" t="s">
        <v>227</v>
      </c>
      <c r="D15" s="71">
        <f t="shared" si="0"/>
        <v>25.461600000000001</v>
      </c>
      <c r="E15" s="71">
        <f t="shared" si="1"/>
        <v>0</v>
      </c>
      <c r="F15" s="72">
        <f t="shared" si="2"/>
        <v>0</v>
      </c>
      <c r="G15" s="80">
        <f>0.17*52</f>
        <v>8.84</v>
      </c>
      <c r="H15" s="80">
        <f>0.3*2*20*1.15*1.1+1+0.3*0.16*8*1.15</f>
        <v>16.621600000000001</v>
      </c>
    </row>
    <row r="16" spans="1:21" ht="15.75" x14ac:dyDescent="0.3">
      <c r="A16" s="1"/>
      <c r="B16" s="46" t="s">
        <v>24</v>
      </c>
      <c r="C16" s="36" t="s">
        <v>229</v>
      </c>
      <c r="D16" s="71">
        <f t="shared" si="0"/>
        <v>13.25</v>
      </c>
      <c r="E16" s="71">
        <f t="shared" si="1"/>
        <v>0</v>
      </c>
      <c r="F16" s="72">
        <f t="shared" si="2"/>
        <v>0</v>
      </c>
      <c r="G16" s="80">
        <f>0.1*52</f>
        <v>5.2</v>
      </c>
      <c r="H16" s="80">
        <f>7*1.15</f>
        <v>8.0499999999999989</v>
      </c>
      <c r="I16" s="142"/>
      <c r="J16" s="142"/>
      <c r="K16" s="142"/>
      <c r="L16" s="7"/>
      <c r="M16" s="142"/>
      <c r="N16" s="142"/>
      <c r="O16" s="142"/>
      <c r="P16" s="1"/>
      <c r="Q16" s="1"/>
      <c r="R16" s="7"/>
      <c r="S16" s="35"/>
      <c r="T16" s="15"/>
      <c r="U16" s="1"/>
    </row>
    <row r="17" spans="1:21" ht="15.75" x14ac:dyDescent="0.3">
      <c r="A17" s="1"/>
      <c r="B17" s="46" t="s">
        <v>24</v>
      </c>
      <c r="C17" s="36" t="s">
        <v>66</v>
      </c>
      <c r="D17" s="71">
        <f t="shared" si="0"/>
        <v>67</v>
      </c>
      <c r="E17" s="71">
        <f t="shared" si="1"/>
        <v>0</v>
      </c>
      <c r="F17" s="72">
        <f t="shared" si="2"/>
        <v>0</v>
      </c>
      <c r="G17" s="80">
        <v>52</v>
      </c>
      <c r="H17" s="80">
        <v>15</v>
      </c>
      <c r="I17" s="69"/>
      <c r="J17" s="69"/>
      <c r="K17" s="69"/>
      <c r="L17" s="7"/>
      <c r="M17" s="69"/>
      <c r="N17" s="69"/>
      <c r="O17" s="69"/>
      <c r="P17" s="1"/>
      <c r="Q17" s="1"/>
      <c r="R17" s="7"/>
      <c r="S17" s="35"/>
      <c r="T17" s="15"/>
      <c r="U17" s="1"/>
    </row>
    <row r="18" spans="1:21" ht="15.75" x14ac:dyDescent="0.3">
      <c r="A18" s="1"/>
      <c r="B18" s="46" t="s">
        <v>24</v>
      </c>
      <c r="C18" s="36" t="s">
        <v>457</v>
      </c>
      <c r="D18" s="71">
        <f t="shared" si="0"/>
        <v>16.052</v>
      </c>
      <c r="E18" s="71">
        <f t="shared" si="1"/>
        <v>0</v>
      </c>
      <c r="F18" s="72">
        <f t="shared" si="2"/>
        <v>0</v>
      </c>
      <c r="G18" s="80">
        <f>0.2*52</f>
        <v>10.4</v>
      </c>
      <c r="H18" s="80">
        <f>0.25*1.12*1.15*16+0.5</f>
        <v>5.6520000000000001</v>
      </c>
      <c r="I18" s="69"/>
      <c r="J18" s="69"/>
      <c r="K18" s="69"/>
      <c r="L18" s="7"/>
      <c r="M18" s="69"/>
      <c r="N18" s="69"/>
      <c r="O18" s="69"/>
      <c r="P18" s="1"/>
      <c r="Q18" s="1"/>
      <c r="R18" s="7"/>
      <c r="S18" s="35"/>
      <c r="T18" s="15"/>
      <c r="U18" s="1"/>
    </row>
    <row r="19" spans="1:21" ht="15.75" x14ac:dyDescent="0.3">
      <c r="A19" s="1"/>
      <c r="B19" s="46" t="s">
        <v>24</v>
      </c>
      <c r="C19" s="36" t="s">
        <v>458</v>
      </c>
      <c r="D19" s="71">
        <f t="shared" si="0"/>
        <v>9.4390000000000001</v>
      </c>
      <c r="E19" s="71">
        <f t="shared" si="1"/>
        <v>0</v>
      </c>
      <c r="F19" s="72">
        <f t="shared" si="2"/>
        <v>0</v>
      </c>
      <c r="G19" s="80">
        <f>0.11*52</f>
        <v>5.72</v>
      </c>
      <c r="H19" s="80">
        <f>0.17*18*1.15+0.2</f>
        <v>3.7189999999999999</v>
      </c>
      <c r="I19" s="69"/>
      <c r="J19" s="69"/>
      <c r="K19" s="69"/>
      <c r="L19" s="7"/>
      <c r="M19" s="69"/>
      <c r="N19" s="69"/>
      <c r="O19" s="69"/>
      <c r="P19" s="1"/>
      <c r="Q19" s="1"/>
      <c r="R19" s="7"/>
      <c r="S19" s="35"/>
      <c r="T19" s="15"/>
      <c r="U19" s="1"/>
    </row>
    <row r="20" spans="1:21" ht="15.75" x14ac:dyDescent="0.3">
      <c r="A20" s="1"/>
      <c r="B20" s="46" t="s">
        <v>24</v>
      </c>
      <c r="C20" s="36" t="s">
        <v>460</v>
      </c>
      <c r="D20" s="71">
        <f t="shared" si="0"/>
        <v>10.221</v>
      </c>
      <c r="E20" s="71">
        <f t="shared" si="1"/>
        <v>0</v>
      </c>
      <c r="F20" s="72">
        <f t="shared" si="2"/>
        <v>0</v>
      </c>
      <c r="G20" s="80">
        <f>0.11*52</f>
        <v>5.72</v>
      </c>
      <c r="H20" s="80">
        <f>0.17*22*1.15+0.2</f>
        <v>4.5010000000000003</v>
      </c>
      <c r="I20" s="69"/>
      <c r="J20" s="69"/>
      <c r="K20" s="69"/>
      <c r="L20" s="7"/>
      <c r="M20" s="69"/>
      <c r="N20" s="69"/>
      <c r="O20" s="69"/>
      <c r="P20" s="1"/>
      <c r="Q20" s="1"/>
      <c r="R20" s="7"/>
      <c r="S20" s="35"/>
      <c r="T20" s="15"/>
      <c r="U20" s="1"/>
    </row>
    <row r="21" spans="1:21" x14ac:dyDescent="0.25">
      <c r="B21" s="46" t="s">
        <v>24</v>
      </c>
      <c r="C21" s="36" t="s">
        <v>157</v>
      </c>
      <c r="D21" s="71">
        <f t="shared" ref="D21:D23" si="5">G21+H21</f>
        <v>25.840860000000003</v>
      </c>
      <c r="E21" s="71">
        <f t="shared" si="1"/>
        <v>0</v>
      </c>
      <c r="F21" s="72">
        <f t="shared" si="2"/>
        <v>0</v>
      </c>
      <c r="G21" s="80">
        <f>0.06*75+0.3*52</f>
        <v>20.100000000000001</v>
      </c>
      <c r="H21" s="80">
        <f>0.25*1.1*1.12*15.07+0.05*0.04*340*1.15*1.15+0.2</f>
        <v>5.7408600000000014</v>
      </c>
    </row>
    <row r="22" spans="1:21" x14ac:dyDescent="0.25">
      <c r="B22" s="46" t="s">
        <v>24</v>
      </c>
      <c r="C22" s="36" t="s">
        <v>230</v>
      </c>
      <c r="D22" s="71">
        <f t="shared" si="5"/>
        <v>39.388000000000005</v>
      </c>
      <c r="E22" s="71">
        <f t="shared" si="1"/>
        <v>0</v>
      </c>
      <c r="F22" s="72">
        <f t="shared" si="2"/>
        <v>0</v>
      </c>
      <c r="G22" s="80">
        <f>0.1*75+0.4*52</f>
        <v>28.3</v>
      </c>
      <c r="H22" s="80">
        <f>0.5*1.1*1.12*18</f>
        <v>11.088000000000001</v>
      </c>
    </row>
    <row r="23" spans="1:21" x14ac:dyDescent="0.25">
      <c r="B23" s="46" t="s">
        <v>150</v>
      </c>
      <c r="C23" s="36" t="s">
        <v>159</v>
      </c>
      <c r="D23" s="71">
        <f t="shared" si="5"/>
        <v>452.12799999999999</v>
      </c>
      <c r="E23" s="71">
        <f t="shared" si="1"/>
        <v>0</v>
      </c>
      <c r="F23" s="72">
        <f t="shared" si="2"/>
        <v>0</v>
      </c>
      <c r="G23" s="80">
        <f>3*2*50</f>
        <v>300</v>
      </c>
      <c r="H23" s="80">
        <f>2*(6+16+6)*1.12*1.15+80</f>
        <v>152.12799999999999</v>
      </c>
    </row>
    <row r="24" spans="1:21" x14ac:dyDescent="0.25">
      <c r="B24" s="46" t="s">
        <v>24</v>
      </c>
      <c r="C24" s="36" t="s">
        <v>160</v>
      </c>
      <c r="D24" s="71">
        <f>G24+H24</f>
        <v>7.1856000000000009</v>
      </c>
      <c r="E24" s="71">
        <f t="shared" si="1"/>
        <v>0</v>
      </c>
      <c r="F24" s="72">
        <f t="shared" si="2"/>
        <v>0</v>
      </c>
      <c r="G24" s="80">
        <f>0.06*52</f>
        <v>3.12</v>
      </c>
      <c r="H24" s="80">
        <f>22*0.15*1.12*1.1</f>
        <v>4.0656000000000008</v>
      </c>
    </row>
    <row r="25" spans="1:21" x14ac:dyDescent="0.25">
      <c r="D25" s="71">
        <f t="shared" ref="D25:D30" si="6">G25+H25</f>
        <v>0</v>
      </c>
      <c r="E25" s="71">
        <f t="shared" si="1"/>
        <v>0</v>
      </c>
      <c r="F25" s="72">
        <f t="shared" si="2"/>
        <v>0</v>
      </c>
      <c r="G25"/>
      <c r="H25"/>
      <c r="I25"/>
    </row>
    <row r="26" spans="1:21" x14ac:dyDescent="0.25">
      <c r="D26" s="71">
        <f t="shared" si="6"/>
        <v>0</v>
      </c>
      <c r="E26" s="71">
        <f t="shared" si="1"/>
        <v>0</v>
      </c>
      <c r="F26" s="72">
        <f t="shared" si="2"/>
        <v>0</v>
      </c>
      <c r="G26"/>
      <c r="H26"/>
    </row>
    <row r="27" spans="1:21" ht="15.75" x14ac:dyDescent="0.3">
      <c r="B27" s="46" t="s">
        <v>24</v>
      </c>
      <c r="C27" s="134" t="s">
        <v>56</v>
      </c>
      <c r="D27" s="71">
        <f t="shared" si="6"/>
        <v>0</v>
      </c>
      <c r="E27" s="71">
        <f t="shared" si="1"/>
        <v>0</v>
      </c>
      <c r="F27" s="72">
        <f t="shared" si="2"/>
        <v>0</v>
      </c>
    </row>
    <row r="28" spans="1:21" ht="15.75" x14ac:dyDescent="0.3">
      <c r="B28" s="46" t="s">
        <v>24</v>
      </c>
      <c r="C28" s="134" t="s">
        <v>57</v>
      </c>
      <c r="D28" s="71">
        <f t="shared" si="6"/>
        <v>0</v>
      </c>
      <c r="E28" s="71">
        <f t="shared" si="1"/>
        <v>0</v>
      </c>
      <c r="F28" s="72">
        <f t="shared" si="2"/>
        <v>0</v>
      </c>
    </row>
    <row r="29" spans="1:21" ht="15.75" x14ac:dyDescent="0.3">
      <c r="B29" s="49" t="s">
        <v>24</v>
      </c>
      <c r="C29" s="133" t="s">
        <v>208</v>
      </c>
      <c r="D29" s="71">
        <f t="shared" si="6"/>
        <v>0</v>
      </c>
      <c r="E29" s="71">
        <f t="shared" si="1"/>
        <v>0</v>
      </c>
      <c r="F29" s="72">
        <f t="shared" si="2"/>
        <v>0</v>
      </c>
      <c r="G29" s="80"/>
      <c r="H29" s="80"/>
    </row>
    <row r="30" spans="1:21" x14ac:dyDescent="0.25">
      <c r="B30" s="46" t="s">
        <v>24</v>
      </c>
      <c r="C30" s="36" t="s">
        <v>247</v>
      </c>
      <c r="D30" s="71">
        <f t="shared" si="6"/>
        <v>10.9552</v>
      </c>
      <c r="E30" s="71">
        <f t="shared" si="1"/>
        <v>0</v>
      </c>
      <c r="F30" s="72">
        <f t="shared" si="2"/>
        <v>0</v>
      </c>
      <c r="G30" s="80">
        <f>0.08*50</f>
        <v>4</v>
      </c>
      <c r="H30" s="80">
        <f>0.3*18*1.12*1.15</f>
        <v>6.9551999999999996</v>
      </c>
    </row>
    <row r="31" spans="1:21" x14ac:dyDescent="0.25">
      <c r="F31" s="72"/>
    </row>
    <row r="32" spans="1:21" x14ac:dyDescent="0.25">
      <c r="F32" s="72"/>
    </row>
  </sheetData>
  <mergeCells count="2">
    <mergeCell ref="I16:K16"/>
    <mergeCell ref="M16:O16"/>
  </mergeCells>
  <phoneticPr fontId="2" type="noConversion"/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0"/>
  <sheetViews>
    <sheetView topLeftCell="C105" zoomScaleNormal="100" workbookViewId="0">
      <selection activeCell="D44" sqref="D44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0" customWidth="1"/>
    <col min="8" max="8" width="10.85546875" style="70"/>
    <col min="9" max="10" width="10.85546875" style="20"/>
  </cols>
  <sheetData>
    <row r="1" spans="1:21" s="20" customFormat="1" x14ac:dyDescent="0.25">
      <c r="A1"/>
      <c r="B1"/>
      <c r="C1"/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  <c r="K1"/>
      <c r="L1"/>
      <c r="M1"/>
      <c r="N1"/>
      <c r="O1"/>
      <c r="P1"/>
      <c r="Q1"/>
      <c r="R1"/>
      <c r="S1"/>
      <c r="T1"/>
      <c r="U1"/>
    </row>
    <row r="2" spans="1:21" x14ac:dyDescent="0.25">
      <c r="C2" s="48" t="s">
        <v>242</v>
      </c>
    </row>
    <row r="3" spans="1:21" s="20" customFormat="1" x14ac:dyDescent="0.25">
      <c r="A3" s="37"/>
      <c r="B3"/>
      <c r="C3" s="48" t="s">
        <v>248</v>
      </c>
      <c r="D3" s="71"/>
      <c r="E3" s="71"/>
      <c r="F3" s="72"/>
      <c r="G3" s="71"/>
      <c r="H3" s="71"/>
      <c r="K3"/>
      <c r="L3"/>
      <c r="M3"/>
      <c r="N3"/>
      <c r="O3"/>
      <c r="P3"/>
      <c r="Q3"/>
      <c r="R3"/>
      <c r="S3"/>
      <c r="T3"/>
      <c r="U3"/>
    </row>
    <row r="4" spans="1:21" s="20" customFormat="1" x14ac:dyDescent="0.25">
      <c r="A4" s="37"/>
      <c r="B4"/>
      <c r="C4" t="s">
        <v>265</v>
      </c>
      <c r="D4" s="71"/>
      <c r="E4" s="71"/>
      <c r="F4" s="72"/>
      <c r="G4" s="71"/>
      <c r="H4" s="71"/>
      <c r="K4"/>
      <c r="L4"/>
      <c r="M4"/>
      <c r="N4"/>
      <c r="O4"/>
      <c r="P4"/>
      <c r="Q4"/>
      <c r="R4"/>
      <c r="S4"/>
      <c r="T4"/>
      <c r="U4"/>
    </row>
    <row r="5" spans="1:21" s="20" customFormat="1" x14ac:dyDescent="0.25">
      <c r="A5" s="37"/>
      <c r="B5" s="41" t="s">
        <v>35</v>
      </c>
      <c r="C5" s="39" t="s">
        <v>235</v>
      </c>
      <c r="D5" s="71">
        <f>G5+H5</f>
        <v>182.19</v>
      </c>
      <c r="E5" s="71">
        <f>A5*D5</f>
        <v>0</v>
      </c>
      <c r="F5" s="72">
        <f t="shared" ref="F5:F39" si="0">G5/50</f>
        <v>2.15</v>
      </c>
      <c r="G5" s="80">
        <f>2.15*50</f>
        <v>107.5</v>
      </c>
      <c r="H5" s="80">
        <f>116.6-107.5+65.59</f>
        <v>74.69</v>
      </c>
      <c r="K5"/>
      <c r="L5"/>
      <c r="M5"/>
      <c r="N5"/>
      <c r="O5"/>
      <c r="P5"/>
      <c r="Q5"/>
      <c r="R5"/>
      <c r="S5"/>
      <c r="T5"/>
      <c r="U5"/>
    </row>
    <row r="6" spans="1:21" s="20" customFormat="1" x14ac:dyDescent="0.25">
      <c r="A6" s="37"/>
      <c r="B6" s="41"/>
      <c r="C6" s="39" t="s">
        <v>437</v>
      </c>
      <c r="D6" s="71"/>
      <c r="E6" s="71"/>
      <c r="F6" s="72"/>
      <c r="G6" s="80"/>
      <c r="H6" s="80"/>
      <c r="K6"/>
      <c r="L6"/>
      <c r="M6"/>
      <c r="N6"/>
      <c r="O6"/>
      <c r="P6"/>
      <c r="Q6"/>
      <c r="R6"/>
      <c r="S6"/>
      <c r="T6"/>
      <c r="U6"/>
    </row>
    <row r="7" spans="1:21" s="20" customFormat="1" x14ac:dyDescent="0.25">
      <c r="A7" s="37"/>
      <c r="B7" s="46" t="s">
        <v>35</v>
      </c>
      <c r="C7" s="36" t="s">
        <v>433</v>
      </c>
      <c r="D7" s="71">
        <f t="shared" ref="D7" si="1">G7+H7</f>
        <v>11.048000000000002</v>
      </c>
      <c r="E7" s="71">
        <f>A5*D7</f>
        <v>0</v>
      </c>
      <c r="F7" s="72">
        <f t="shared" ref="F7" si="2">G7/50</f>
        <v>0.1</v>
      </c>
      <c r="G7" s="80">
        <f>0.1*50</f>
        <v>5</v>
      </c>
      <c r="H7" s="80">
        <f>4*1.35*1.12</f>
        <v>6.0480000000000009</v>
      </c>
      <c r="K7"/>
      <c r="L7"/>
      <c r="M7"/>
      <c r="N7"/>
      <c r="O7"/>
      <c r="P7"/>
      <c r="Q7"/>
      <c r="R7"/>
      <c r="S7"/>
      <c r="T7"/>
      <c r="U7"/>
    </row>
    <row r="8" spans="1:21" s="20" customFormat="1" x14ac:dyDescent="0.25">
      <c r="A8" s="37"/>
      <c r="B8" s="41"/>
      <c r="C8" s="39"/>
      <c r="D8" s="71"/>
      <c r="E8" s="71"/>
      <c r="F8" s="72"/>
      <c r="G8" s="80"/>
      <c r="H8" s="80"/>
      <c r="K8"/>
      <c r="L8"/>
      <c r="M8"/>
      <c r="N8"/>
      <c r="O8"/>
      <c r="P8"/>
      <c r="Q8"/>
      <c r="R8"/>
      <c r="S8"/>
      <c r="T8"/>
      <c r="U8"/>
    </row>
    <row r="9" spans="1:21" s="20" customFormat="1" x14ac:dyDescent="0.25">
      <c r="A9" s="37"/>
      <c r="B9" s="41" t="s">
        <v>35</v>
      </c>
      <c r="C9" s="39" t="s">
        <v>235</v>
      </c>
      <c r="D9" s="71">
        <f>G9+H9</f>
        <v>164.48</v>
      </c>
      <c r="E9" s="71">
        <f>A9*D9</f>
        <v>0</v>
      </c>
      <c r="F9" s="72">
        <f t="shared" ref="F9" si="3">G9/50</f>
        <v>2.2789999999999999</v>
      </c>
      <c r="G9" s="80">
        <f>2.15*53</f>
        <v>113.94999999999999</v>
      </c>
      <c r="H9" s="80">
        <f>116.6-107.5+41.43</f>
        <v>50.529999999999994</v>
      </c>
      <c r="I9" s="20">
        <f>125.2+42</f>
        <v>167.2</v>
      </c>
      <c r="K9"/>
      <c r="L9"/>
      <c r="M9"/>
      <c r="N9"/>
      <c r="O9"/>
      <c r="P9"/>
      <c r="Q9"/>
      <c r="R9"/>
      <c r="S9"/>
      <c r="T9"/>
      <c r="U9"/>
    </row>
    <row r="10" spans="1:21" s="20" customFormat="1" x14ac:dyDescent="0.25">
      <c r="A10" s="37"/>
      <c r="B10" s="41"/>
      <c r="C10" s="39" t="s">
        <v>438</v>
      </c>
      <c r="D10" s="71"/>
      <c r="E10" s="71"/>
      <c r="F10" s="72"/>
      <c r="G10" s="80"/>
      <c r="H10" s="80"/>
      <c r="K10"/>
      <c r="L10"/>
      <c r="M10"/>
      <c r="N10"/>
      <c r="O10"/>
      <c r="P10"/>
      <c r="Q10"/>
      <c r="R10"/>
      <c r="S10"/>
      <c r="T10"/>
      <c r="U10"/>
    </row>
    <row r="11" spans="1:21" s="20" customFormat="1" x14ac:dyDescent="0.25">
      <c r="A11" s="37"/>
      <c r="B11" s="46" t="s">
        <v>35</v>
      </c>
      <c r="C11" s="36" t="s">
        <v>433</v>
      </c>
      <c r="D11" s="71">
        <f t="shared" ref="D11" si="4">G11+H11</f>
        <v>11.548000000000002</v>
      </c>
      <c r="E11" s="71">
        <f>A9*D11</f>
        <v>0</v>
      </c>
      <c r="F11" s="72">
        <f t="shared" ref="F11" si="5">G11/50</f>
        <v>0.11</v>
      </c>
      <c r="G11" s="80">
        <f>0.1*55</f>
        <v>5.5</v>
      </c>
      <c r="H11" s="80">
        <f>4*1.35*1.12</f>
        <v>6.0480000000000009</v>
      </c>
      <c r="K11"/>
      <c r="L11"/>
      <c r="M11"/>
      <c r="N11"/>
      <c r="O11"/>
      <c r="P11"/>
      <c r="Q11"/>
      <c r="R11"/>
      <c r="S11"/>
      <c r="T11"/>
      <c r="U11"/>
    </row>
    <row r="12" spans="1:21" s="20" customFormat="1" x14ac:dyDescent="0.25">
      <c r="A12" s="37"/>
      <c r="B12" s="46"/>
      <c r="C12" s="36"/>
      <c r="D12" s="71"/>
      <c r="E12" s="71"/>
      <c r="F12" s="72"/>
      <c r="G12" s="71"/>
      <c r="H12" s="71"/>
      <c r="K12"/>
      <c r="L12"/>
      <c r="M12"/>
      <c r="N12"/>
      <c r="O12"/>
      <c r="P12"/>
      <c r="Q12"/>
      <c r="R12"/>
      <c r="S12"/>
      <c r="T12"/>
      <c r="U12"/>
    </row>
    <row r="13" spans="1:21" s="20" customFormat="1" x14ac:dyDescent="0.25">
      <c r="A13" s="37"/>
      <c r="K13"/>
      <c r="L13"/>
      <c r="M13"/>
      <c r="N13"/>
      <c r="O13"/>
      <c r="P13"/>
      <c r="Q13"/>
      <c r="R13"/>
      <c r="S13"/>
      <c r="T13"/>
      <c r="U13"/>
    </row>
    <row r="14" spans="1:21" s="20" customFormat="1" x14ac:dyDescent="0.25">
      <c r="A14" s="37"/>
      <c r="B14" s="41" t="s">
        <v>35</v>
      </c>
      <c r="C14" s="39" t="s">
        <v>235</v>
      </c>
      <c r="D14" s="71">
        <f>G14+H14</f>
        <v>175.92</v>
      </c>
      <c r="E14" s="71">
        <f>A14*D14</f>
        <v>0</v>
      </c>
      <c r="F14" s="72">
        <f t="shared" ref="F14" si="6">G14/50</f>
        <v>2.15</v>
      </c>
      <c r="G14" s="80">
        <f>2.15*50</f>
        <v>107.5</v>
      </c>
      <c r="H14" s="80">
        <f>116.6-107.5+59.32</f>
        <v>68.419999999999987</v>
      </c>
      <c r="K14"/>
      <c r="L14"/>
      <c r="M14"/>
      <c r="N14"/>
      <c r="O14"/>
      <c r="P14"/>
      <c r="Q14"/>
      <c r="R14"/>
      <c r="S14"/>
      <c r="T14"/>
      <c r="U14"/>
    </row>
    <row r="15" spans="1:21" s="20" customFormat="1" x14ac:dyDescent="0.25">
      <c r="A15" s="37"/>
      <c r="B15" s="41"/>
      <c r="C15" s="39" t="s">
        <v>439</v>
      </c>
      <c r="D15" s="71"/>
      <c r="E15" s="71"/>
      <c r="F15" s="72"/>
      <c r="G15" s="80"/>
      <c r="H15" s="80"/>
      <c r="K15"/>
      <c r="L15"/>
      <c r="M15"/>
      <c r="N15"/>
      <c r="O15"/>
      <c r="P15"/>
      <c r="Q15"/>
      <c r="R15"/>
      <c r="S15"/>
      <c r="T15"/>
      <c r="U15"/>
    </row>
    <row r="16" spans="1:21" s="20" customFormat="1" x14ac:dyDescent="0.25">
      <c r="A16" s="37"/>
      <c r="B16" s="41"/>
      <c r="C16" s="39"/>
      <c r="D16" s="71"/>
      <c r="E16" s="71"/>
      <c r="F16" s="72"/>
      <c r="G16" s="80"/>
      <c r="H16" s="80"/>
      <c r="K16"/>
      <c r="L16"/>
      <c r="M16"/>
      <c r="N16"/>
      <c r="O16"/>
      <c r="P16"/>
      <c r="Q16"/>
      <c r="R16"/>
      <c r="S16"/>
      <c r="T16"/>
      <c r="U16"/>
    </row>
    <row r="17" spans="1:21" s="20" customFormat="1" x14ac:dyDescent="0.25">
      <c r="A17" s="37"/>
      <c r="B17" s="41" t="s">
        <v>35</v>
      </c>
      <c r="C17" s="39" t="s">
        <v>235</v>
      </c>
      <c r="D17" s="71">
        <f>G17+H17</f>
        <v>151.76</v>
      </c>
      <c r="E17" s="71">
        <f>A17*D17</f>
        <v>0</v>
      </c>
      <c r="F17" s="72">
        <f t="shared" ref="F17" si="7">G17/50</f>
        <v>2.15</v>
      </c>
      <c r="G17" s="80">
        <f>2.15*50</f>
        <v>107.5</v>
      </c>
      <c r="H17" s="80">
        <f>116.6-107.5+35.16</f>
        <v>44.259999999999991</v>
      </c>
      <c r="K17"/>
      <c r="L17"/>
      <c r="M17"/>
      <c r="N17"/>
      <c r="O17"/>
      <c r="P17"/>
      <c r="Q17"/>
      <c r="R17"/>
      <c r="S17"/>
      <c r="T17"/>
      <c r="U17"/>
    </row>
    <row r="18" spans="1:21" s="20" customFormat="1" x14ac:dyDescent="0.25">
      <c r="A18" s="37"/>
      <c r="B18" s="41"/>
      <c r="C18" s="39" t="s">
        <v>440</v>
      </c>
      <c r="D18" s="71"/>
      <c r="E18" s="71"/>
      <c r="F18" s="72"/>
      <c r="G18" s="80"/>
      <c r="H18" s="80"/>
      <c r="K18"/>
      <c r="L18"/>
      <c r="M18"/>
      <c r="N18"/>
      <c r="O18"/>
      <c r="P18"/>
      <c r="Q18"/>
      <c r="R18"/>
      <c r="S18"/>
      <c r="T18"/>
      <c r="U18"/>
    </row>
    <row r="19" spans="1:21" s="20" customFormat="1" x14ac:dyDescent="0.25">
      <c r="A19" s="37"/>
      <c r="B19" s="41"/>
      <c r="C19" s="39"/>
      <c r="D19" s="71"/>
      <c r="E19" s="71"/>
      <c r="F19" s="72"/>
      <c r="G19" s="71"/>
      <c r="H19" s="71"/>
      <c r="K19"/>
      <c r="L19"/>
      <c r="M19"/>
      <c r="N19"/>
      <c r="O19"/>
      <c r="P19"/>
      <c r="Q19"/>
      <c r="R19"/>
      <c r="S19"/>
      <c r="T19"/>
      <c r="U19"/>
    </row>
    <row r="20" spans="1:21" s="20" customFormat="1" x14ac:dyDescent="0.25">
      <c r="A20" s="37"/>
      <c r="B20" s="41"/>
      <c r="C20" s="39"/>
      <c r="D20" s="71"/>
      <c r="E20" s="71"/>
      <c r="F20" s="72"/>
      <c r="G20" s="71"/>
      <c r="H20" s="71"/>
      <c r="K20"/>
      <c r="L20"/>
      <c r="M20"/>
      <c r="N20"/>
      <c r="O20"/>
      <c r="P20"/>
      <c r="Q20"/>
      <c r="R20"/>
      <c r="S20"/>
      <c r="T20"/>
      <c r="U20"/>
    </row>
    <row r="21" spans="1:21" s="20" customFormat="1" x14ac:dyDescent="0.25">
      <c r="A21" s="37"/>
      <c r="B21" s="41"/>
      <c r="C21" s="130" t="s">
        <v>441</v>
      </c>
      <c r="D21" s="71"/>
      <c r="E21" s="71"/>
      <c r="F21" s="72"/>
      <c r="G21" s="71"/>
      <c r="H21" s="71"/>
      <c r="K21"/>
      <c r="L21"/>
      <c r="M21"/>
      <c r="N21"/>
      <c r="O21"/>
      <c r="P21"/>
      <c r="Q21"/>
      <c r="R21"/>
      <c r="S21"/>
      <c r="T21"/>
      <c r="U21"/>
    </row>
    <row r="22" spans="1:21" s="20" customFormat="1" x14ac:dyDescent="0.25">
      <c r="A22" s="37"/>
      <c r="B22" s="41" t="s">
        <v>35</v>
      </c>
      <c r="C22" s="39" t="s">
        <v>237</v>
      </c>
      <c r="D22" s="71">
        <f t="shared" ref="D22" si="8">G22+H22</f>
        <v>187.66</v>
      </c>
      <c r="E22" s="71">
        <f>A22*D22</f>
        <v>0</v>
      </c>
      <c r="F22" s="72">
        <f t="shared" ref="F22" si="9">G22/50</f>
        <v>2.1840000000000002</v>
      </c>
      <c r="G22" s="80">
        <f>2.1*52</f>
        <v>109.2</v>
      </c>
      <c r="H22" s="80">
        <v>78.459999999999994</v>
      </c>
      <c r="K22"/>
      <c r="L22"/>
      <c r="M22"/>
      <c r="N22"/>
      <c r="O22"/>
      <c r="P22"/>
      <c r="Q22"/>
      <c r="R22"/>
      <c r="S22"/>
      <c r="T22"/>
      <c r="U22"/>
    </row>
    <row r="23" spans="1:21" s="20" customFormat="1" x14ac:dyDescent="0.25">
      <c r="A23" s="37"/>
      <c r="B23" s="41"/>
      <c r="C23" s="39" t="s">
        <v>437</v>
      </c>
      <c r="D23" s="71"/>
      <c r="E23" s="71"/>
      <c r="F23" s="72"/>
      <c r="G23" s="80"/>
      <c r="H23" s="80"/>
      <c r="K23"/>
      <c r="L23"/>
      <c r="M23"/>
      <c r="N23"/>
      <c r="O23"/>
      <c r="P23"/>
      <c r="Q23"/>
      <c r="R23"/>
      <c r="S23"/>
      <c r="T23"/>
      <c r="U23"/>
    </row>
    <row r="24" spans="1:21" s="20" customFormat="1" x14ac:dyDescent="0.25">
      <c r="A24" s="37"/>
      <c r="B24" s="46" t="s">
        <v>35</v>
      </c>
      <c r="C24" s="36" t="s">
        <v>433</v>
      </c>
      <c r="D24" s="71">
        <f t="shared" ref="D24" si="10">G24+H24</f>
        <v>11.048000000000002</v>
      </c>
      <c r="E24" s="71">
        <f>A22*D24</f>
        <v>0</v>
      </c>
      <c r="F24" s="72">
        <f t="shared" ref="F24" si="11">G24/50</f>
        <v>0.1</v>
      </c>
      <c r="G24" s="80">
        <f>0.1*50</f>
        <v>5</v>
      </c>
      <c r="H24" s="80">
        <f>4*1.35*1.12</f>
        <v>6.0480000000000009</v>
      </c>
      <c r="K24"/>
      <c r="L24"/>
      <c r="M24"/>
      <c r="N24"/>
      <c r="O24"/>
      <c r="P24"/>
      <c r="Q24"/>
      <c r="R24"/>
      <c r="S24"/>
      <c r="T24"/>
      <c r="U24"/>
    </row>
    <row r="25" spans="1:21" s="20" customFormat="1" x14ac:dyDescent="0.25">
      <c r="A25" s="37"/>
      <c r="B25" s="41"/>
      <c r="C25" s="39"/>
      <c r="D25" s="71"/>
      <c r="E25" s="71"/>
      <c r="F25" s="72"/>
      <c r="G25" s="80"/>
      <c r="H25" s="80"/>
      <c r="K25"/>
      <c r="L25"/>
      <c r="M25"/>
      <c r="N25"/>
      <c r="O25"/>
      <c r="P25"/>
      <c r="Q25"/>
      <c r="R25"/>
      <c r="S25"/>
      <c r="T25"/>
      <c r="U25"/>
    </row>
    <row r="26" spans="1:21" s="20" customFormat="1" x14ac:dyDescent="0.25">
      <c r="A26" s="37"/>
      <c r="B26" s="41" t="s">
        <v>35</v>
      </c>
      <c r="C26" s="39" t="s">
        <v>237</v>
      </c>
      <c r="D26" s="71">
        <f t="shared" ref="D26" si="12">G26+H26</f>
        <v>152.84</v>
      </c>
      <c r="E26" s="71">
        <f>A26*D26</f>
        <v>0</v>
      </c>
      <c r="F26" s="72">
        <f t="shared" ref="F26" si="13">G26/50</f>
        <v>2.1</v>
      </c>
      <c r="G26" s="80">
        <f>2.1*50</f>
        <v>105</v>
      </c>
      <c r="H26" s="80">
        <f>113.91-107.5+41.43</f>
        <v>47.839999999999996</v>
      </c>
      <c r="K26"/>
      <c r="L26"/>
      <c r="M26"/>
      <c r="N26"/>
      <c r="O26"/>
      <c r="P26"/>
      <c r="Q26"/>
      <c r="R26"/>
      <c r="S26"/>
      <c r="T26"/>
      <c r="U26"/>
    </row>
    <row r="27" spans="1:21" s="20" customFormat="1" x14ac:dyDescent="0.25">
      <c r="A27" s="37"/>
      <c r="B27" s="41"/>
      <c r="C27" s="39" t="s">
        <v>438</v>
      </c>
      <c r="D27" s="71"/>
      <c r="E27" s="71"/>
      <c r="F27" s="72"/>
      <c r="G27" s="80"/>
      <c r="H27" s="80"/>
      <c r="K27"/>
      <c r="L27"/>
      <c r="M27"/>
      <c r="N27"/>
      <c r="O27"/>
      <c r="P27"/>
      <c r="Q27"/>
      <c r="R27"/>
      <c r="S27"/>
      <c r="T27"/>
      <c r="U27"/>
    </row>
    <row r="28" spans="1:21" s="20" customFormat="1" x14ac:dyDescent="0.25">
      <c r="A28" s="37"/>
      <c r="B28" s="46" t="s">
        <v>35</v>
      </c>
      <c r="C28" s="36" t="s">
        <v>433</v>
      </c>
      <c r="D28" s="71">
        <f t="shared" ref="D28" si="14">G28+H28</f>
        <v>11.048000000000002</v>
      </c>
      <c r="E28" s="71">
        <f>A26*D28</f>
        <v>0</v>
      </c>
      <c r="F28" s="72">
        <f t="shared" ref="F28" si="15">G28/50</f>
        <v>0.1</v>
      </c>
      <c r="G28" s="80">
        <f>0.1*50</f>
        <v>5</v>
      </c>
      <c r="H28" s="80">
        <f>4*1.35*1.12</f>
        <v>6.0480000000000009</v>
      </c>
      <c r="K28"/>
      <c r="L28"/>
      <c r="M28"/>
      <c r="N28"/>
      <c r="O28"/>
      <c r="P28"/>
      <c r="Q28"/>
      <c r="R28"/>
      <c r="S28"/>
      <c r="T28"/>
      <c r="U28"/>
    </row>
    <row r="29" spans="1:21" s="20" customFormat="1" x14ac:dyDescent="0.25">
      <c r="A29" s="37"/>
      <c r="B29" s="41"/>
      <c r="C29" s="39"/>
      <c r="D29" s="71"/>
      <c r="E29" s="71"/>
      <c r="F29" s="72"/>
      <c r="G29" s="71"/>
      <c r="H29" s="71"/>
      <c r="K29"/>
      <c r="L29"/>
      <c r="M29"/>
      <c r="N29"/>
      <c r="O29"/>
      <c r="P29"/>
      <c r="Q29"/>
      <c r="R29"/>
      <c r="S29"/>
      <c r="T29"/>
      <c r="U29"/>
    </row>
    <row r="30" spans="1:21" s="20" customFormat="1" x14ac:dyDescent="0.25">
      <c r="A30" s="37"/>
      <c r="B30" s="41" t="s">
        <v>35</v>
      </c>
      <c r="C30" s="39" t="s">
        <v>237</v>
      </c>
      <c r="D30" s="71">
        <f t="shared" ref="D30" si="16">G30+H30</f>
        <v>170.73</v>
      </c>
      <c r="E30" s="71">
        <f>A30*D30</f>
        <v>0</v>
      </c>
      <c r="F30" s="72">
        <f t="shared" ref="F30" si="17">G30/50</f>
        <v>2.1</v>
      </c>
      <c r="G30" s="80">
        <f>2.1*50</f>
        <v>105</v>
      </c>
      <c r="H30" s="80">
        <f>113.91-107.5+59.32</f>
        <v>65.72999999999999</v>
      </c>
      <c r="K30"/>
      <c r="L30"/>
      <c r="M30"/>
      <c r="N30"/>
      <c r="O30"/>
      <c r="P30"/>
      <c r="Q30"/>
      <c r="R30"/>
      <c r="S30"/>
      <c r="T30"/>
      <c r="U30"/>
    </row>
    <row r="31" spans="1:21" s="20" customFormat="1" x14ac:dyDescent="0.25">
      <c r="A31" s="37"/>
      <c r="B31" s="41"/>
      <c r="C31" s="39" t="s">
        <v>439</v>
      </c>
      <c r="D31" s="71"/>
      <c r="E31" s="71"/>
      <c r="F31" s="72"/>
      <c r="G31" s="80"/>
      <c r="H31" s="80"/>
      <c r="K31"/>
      <c r="L31"/>
      <c r="M31"/>
      <c r="N31"/>
      <c r="O31"/>
      <c r="P31"/>
      <c r="Q31"/>
      <c r="R31"/>
      <c r="S31"/>
      <c r="T31"/>
      <c r="U31"/>
    </row>
    <row r="32" spans="1:21" s="20" customFormat="1" x14ac:dyDescent="0.25">
      <c r="A32" s="37"/>
      <c r="B32" s="41"/>
      <c r="C32" s="39"/>
      <c r="D32" s="71"/>
      <c r="E32" s="71"/>
      <c r="F32" s="72"/>
      <c r="G32" s="80"/>
      <c r="H32" s="80"/>
      <c r="K32"/>
      <c r="L32"/>
      <c r="M32"/>
      <c r="N32"/>
      <c r="O32"/>
      <c r="P32"/>
      <c r="Q32"/>
      <c r="R32"/>
      <c r="S32"/>
      <c r="T32"/>
      <c r="U32"/>
    </row>
    <row r="33" spans="1:21" s="20" customFormat="1" x14ac:dyDescent="0.25">
      <c r="A33" s="37"/>
      <c r="B33" s="41" t="s">
        <v>35</v>
      </c>
      <c r="C33" s="39" t="s">
        <v>237</v>
      </c>
      <c r="D33" s="71">
        <f t="shared" ref="D33" si="18">G33+H33</f>
        <v>146.57</v>
      </c>
      <c r="E33" s="71">
        <f>A33*D33</f>
        <v>0</v>
      </c>
      <c r="F33" s="72">
        <f t="shared" ref="F33" si="19">G33/50</f>
        <v>2.1</v>
      </c>
      <c r="G33" s="80">
        <f>2.1*50</f>
        <v>105</v>
      </c>
      <c r="H33" s="80">
        <f>113.91-107.5+35.16</f>
        <v>41.569999999999993</v>
      </c>
      <c r="K33"/>
      <c r="L33"/>
      <c r="M33"/>
      <c r="N33"/>
      <c r="O33"/>
      <c r="P33"/>
      <c r="Q33"/>
      <c r="R33"/>
      <c r="S33"/>
      <c r="T33"/>
      <c r="U33"/>
    </row>
    <row r="34" spans="1:21" s="20" customFormat="1" x14ac:dyDescent="0.25">
      <c r="A34" s="37"/>
      <c r="B34" s="41"/>
      <c r="C34" s="39" t="s">
        <v>440</v>
      </c>
      <c r="D34" s="71"/>
      <c r="E34" s="71"/>
      <c r="F34" s="72"/>
      <c r="G34" s="80"/>
      <c r="H34" s="80"/>
      <c r="K34"/>
      <c r="L34"/>
      <c r="M34"/>
      <c r="N34"/>
      <c r="O34"/>
      <c r="P34"/>
      <c r="Q34"/>
      <c r="R34"/>
      <c r="S34"/>
      <c r="T34"/>
      <c r="U34"/>
    </row>
    <row r="35" spans="1:21" s="20" customFormat="1" x14ac:dyDescent="0.25">
      <c r="A35" s="37"/>
      <c r="B35" s="41"/>
      <c r="C35" s="39"/>
      <c r="D35" s="71"/>
      <c r="E35" s="71"/>
      <c r="F35" s="72"/>
      <c r="G35" s="71"/>
      <c r="H35" s="71"/>
      <c r="K35"/>
      <c r="L35"/>
      <c r="M35"/>
      <c r="N35"/>
      <c r="O35"/>
      <c r="P35"/>
      <c r="Q35"/>
      <c r="R35"/>
      <c r="S35"/>
      <c r="T35"/>
      <c r="U35"/>
    </row>
    <row r="36" spans="1:21" s="20" customFormat="1" x14ac:dyDescent="0.25">
      <c r="A36" s="37"/>
      <c r="B36" s="41" t="s">
        <v>35</v>
      </c>
      <c r="C36" s="39" t="s">
        <v>443</v>
      </c>
      <c r="D36" s="71">
        <f>G36+H36</f>
        <v>18.75</v>
      </c>
      <c r="E36" s="71">
        <f>A36*D36</f>
        <v>0</v>
      </c>
      <c r="F36" s="72">
        <f>G36/50*A36</f>
        <v>0</v>
      </c>
      <c r="G36" s="80">
        <f>0.11*75+0.1*50+0.05*50</f>
        <v>15.75</v>
      </c>
      <c r="H36" s="80">
        <f>3</f>
        <v>3</v>
      </c>
      <c r="K36"/>
      <c r="L36"/>
      <c r="M36"/>
      <c r="N36"/>
      <c r="O36"/>
      <c r="P36"/>
      <c r="Q36"/>
      <c r="R36"/>
      <c r="S36"/>
      <c r="T36"/>
      <c r="U36"/>
    </row>
    <row r="37" spans="1:21" s="20" customFormat="1" x14ac:dyDescent="0.25">
      <c r="A37" s="37"/>
      <c r="B37" s="41" t="s">
        <v>77</v>
      </c>
      <c r="C37" s="39" t="s">
        <v>210</v>
      </c>
      <c r="D37" s="71">
        <f t="shared" ref="D37:D39" si="20">G37+H37</f>
        <v>649.6</v>
      </c>
      <c r="E37" s="71">
        <f>A37*D37</f>
        <v>0</v>
      </c>
      <c r="F37" s="72">
        <f t="shared" si="0"/>
        <v>0</v>
      </c>
      <c r="G37" s="80"/>
      <c r="H37" s="80">
        <f>580*1.12</f>
        <v>649.6</v>
      </c>
      <c r="K37"/>
      <c r="L37"/>
      <c r="M37"/>
      <c r="N37"/>
      <c r="O37"/>
      <c r="P37"/>
      <c r="Q37"/>
      <c r="R37"/>
      <c r="S37"/>
      <c r="T37"/>
      <c r="U37"/>
    </row>
    <row r="38" spans="1:21" s="20" customFormat="1" x14ac:dyDescent="0.25">
      <c r="A38" s="37"/>
      <c r="B38" s="41" t="s">
        <v>77</v>
      </c>
      <c r="C38" s="39" t="s">
        <v>240</v>
      </c>
      <c r="D38" s="71">
        <f t="shared" si="20"/>
        <v>616.00000000000011</v>
      </c>
      <c r="E38" s="71">
        <f>A38*D38</f>
        <v>0</v>
      </c>
      <c r="F38" s="72">
        <f t="shared" si="0"/>
        <v>0</v>
      </c>
      <c r="G38" s="80"/>
      <c r="H38" s="80">
        <f>550*1.12</f>
        <v>616.00000000000011</v>
      </c>
      <c r="K38"/>
      <c r="L38"/>
      <c r="M38"/>
      <c r="N38"/>
      <c r="O38"/>
      <c r="P38"/>
      <c r="Q38"/>
      <c r="R38"/>
      <c r="S38"/>
      <c r="T38"/>
      <c r="U38"/>
    </row>
    <row r="39" spans="1:21" s="20" customFormat="1" x14ac:dyDescent="0.25">
      <c r="A39" s="37"/>
      <c r="B39" s="41" t="s">
        <v>150</v>
      </c>
      <c r="C39" s="36" t="s">
        <v>228</v>
      </c>
      <c r="D39" s="71">
        <f t="shared" si="20"/>
        <v>130</v>
      </c>
      <c r="E39" s="71">
        <f>A39*D39</f>
        <v>0</v>
      </c>
      <c r="F39" s="72">
        <f t="shared" si="0"/>
        <v>1.25</v>
      </c>
      <c r="G39" s="80">
        <f>1.25*50</f>
        <v>62.5</v>
      </c>
      <c r="H39" s="80">
        <f>130-G39</f>
        <v>67.5</v>
      </c>
      <c r="K39"/>
      <c r="L39"/>
      <c r="M39"/>
      <c r="N39"/>
      <c r="O39"/>
      <c r="P39"/>
      <c r="Q39"/>
      <c r="R39"/>
      <c r="S39"/>
      <c r="T39"/>
      <c r="U39"/>
    </row>
    <row r="40" spans="1:21" s="20" customFormat="1" x14ac:dyDescent="0.25">
      <c r="A40" s="37"/>
      <c r="B40" s="41"/>
      <c r="C40" s="36"/>
      <c r="D40" s="71"/>
      <c r="E40" s="71"/>
      <c r="F40" s="72"/>
      <c r="G40" s="80"/>
      <c r="H40" s="80"/>
      <c r="K40"/>
      <c r="L40"/>
      <c r="M40"/>
      <c r="N40"/>
      <c r="O40"/>
      <c r="P40"/>
      <c r="Q40"/>
      <c r="R40"/>
      <c r="S40"/>
      <c r="T40"/>
      <c r="U40"/>
    </row>
    <row r="41" spans="1:21" s="20" customFormat="1" x14ac:dyDescent="0.25">
      <c r="A41" s="37"/>
      <c r="B41" s="41"/>
      <c r="C41" s="36"/>
      <c r="D41" s="71"/>
      <c r="E41" s="71"/>
      <c r="F41" s="72"/>
      <c r="G41" s="80"/>
      <c r="H41" s="80"/>
      <c r="K41"/>
      <c r="L41"/>
      <c r="M41"/>
      <c r="N41"/>
      <c r="O41"/>
      <c r="P41"/>
      <c r="Q41"/>
      <c r="R41"/>
      <c r="S41"/>
      <c r="T41"/>
      <c r="U41"/>
    </row>
    <row r="42" spans="1:21" s="20" customFormat="1" x14ac:dyDescent="0.25">
      <c r="A42" s="37"/>
      <c r="B42"/>
      <c r="C42" s="54" t="s">
        <v>274</v>
      </c>
      <c r="D42" s="71"/>
      <c r="E42" s="71"/>
      <c r="F42" s="72"/>
      <c r="G42" s="80"/>
      <c r="H42" s="80"/>
      <c r="K42"/>
      <c r="L42"/>
      <c r="M42"/>
      <c r="N42"/>
      <c r="O42"/>
      <c r="P42"/>
      <c r="Q42"/>
      <c r="R42"/>
      <c r="S42"/>
      <c r="T42"/>
      <c r="U42"/>
    </row>
    <row r="43" spans="1:21" s="20" customFormat="1" x14ac:dyDescent="0.25">
      <c r="A43" s="37"/>
      <c r="B43" s="41" t="s">
        <v>35</v>
      </c>
      <c r="C43" s="39" t="s">
        <v>213</v>
      </c>
      <c r="D43" s="71">
        <f t="shared" ref="D43:D57" si="21">G43+H43</f>
        <v>8.3719999999999999</v>
      </c>
      <c r="E43" s="71">
        <f t="shared" ref="E43:E50" si="22">A43*D43</f>
        <v>0</v>
      </c>
      <c r="F43" s="72">
        <f t="shared" ref="F43:F57" si="23">G43/50</f>
        <v>0</v>
      </c>
      <c r="G43" s="80"/>
      <c r="H43" s="80">
        <f>6.5*1.12*1.15</f>
        <v>8.3719999999999999</v>
      </c>
      <c r="K43"/>
      <c r="L43"/>
      <c r="M43"/>
      <c r="N43"/>
      <c r="O43"/>
      <c r="P43"/>
      <c r="Q43"/>
      <c r="R43"/>
      <c r="S43"/>
      <c r="T43"/>
      <c r="U43"/>
    </row>
    <row r="44" spans="1:21" s="20" customFormat="1" x14ac:dyDescent="0.25">
      <c r="A44" s="37"/>
      <c r="B44" s="41" t="s">
        <v>35</v>
      </c>
      <c r="C44" s="39" t="s">
        <v>212</v>
      </c>
      <c r="D44" s="71">
        <f t="shared" si="21"/>
        <v>17.203200000000002</v>
      </c>
      <c r="E44" s="71">
        <f t="shared" si="22"/>
        <v>0</v>
      </c>
      <c r="F44" s="72">
        <f t="shared" si="23"/>
        <v>0</v>
      </c>
      <c r="G44" s="80"/>
      <c r="H44" s="80">
        <f>15.36*1.12</f>
        <v>17.203200000000002</v>
      </c>
      <c r="K44"/>
      <c r="L44"/>
      <c r="M44"/>
      <c r="N44"/>
      <c r="O44"/>
      <c r="P44"/>
      <c r="Q44"/>
      <c r="R44"/>
      <c r="S44"/>
      <c r="T44"/>
      <c r="U44"/>
    </row>
    <row r="45" spans="1:21" s="20" customFormat="1" x14ac:dyDescent="0.25">
      <c r="A45" s="37"/>
      <c r="B45" s="41" t="s">
        <v>35</v>
      </c>
      <c r="C45" s="39" t="s">
        <v>156</v>
      </c>
      <c r="D45" s="71">
        <f t="shared" si="21"/>
        <v>17.749088</v>
      </c>
      <c r="E45" s="71">
        <f t="shared" si="22"/>
        <v>0</v>
      </c>
      <c r="F45" s="72">
        <f t="shared" si="23"/>
        <v>0</v>
      </c>
      <c r="G45" s="80"/>
      <c r="H45" s="80">
        <f>13.43*1.12*1.18</f>
        <v>17.749088</v>
      </c>
      <c r="K45"/>
      <c r="L45"/>
      <c r="M45"/>
      <c r="N45"/>
      <c r="O45"/>
      <c r="P45"/>
      <c r="Q45"/>
      <c r="R45"/>
      <c r="S45"/>
      <c r="T45"/>
      <c r="U45"/>
    </row>
    <row r="46" spans="1:21" s="20" customFormat="1" x14ac:dyDescent="0.25">
      <c r="A46" s="37"/>
      <c r="B46" s="41" t="s">
        <v>35</v>
      </c>
      <c r="C46" s="39" t="s">
        <v>211</v>
      </c>
      <c r="D46" s="71">
        <f t="shared" si="21"/>
        <v>9.3379999999999992</v>
      </c>
      <c r="E46" s="71">
        <f t="shared" si="22"/>
        <v>0</v>
      </c>
      <c r="F46" s="72">
        <f t="shared" si="23"/>
        <v>0</v>
      </c>
      <c r="G46" s="80"/>
      <c r="H46" s="80">
        <f>290*0.025*1.15*1.12</f>
        <v>9.3379999999999992</v>
      </c>
      <c r="K46"/>
      <c r="L46"/>
      <c r="M46"/>
      <c r="N46"/>
      <c r="O46"/>
      <c r="P46"/>
      <c r="Q46"/>
      <c r="R46"/>
      <c r="S46"/>
      <c r="T46"/>
      <c r="U46"/>
    </row>
    <row r="47" spans="1:21" s="20" customFormat="1" x14ac:dyDescent="0.25">
      <c r="A47" s="37"/>
      <c r="B47" s="41" t="s">
        <v>35</v>
      </c>
      <c r="C47" s="39" t="s">
        <v>18</v>
      </c>
      <c r="D47" s="71">
        <f t="shared" si="21"/>
        <v>10.584000000000001</v>
      </c>
      <c r="E47" s="71">
        <f t="shared" si="22"/>
        <v>0</v>
      </c>
      <c r="F47" s="72">
        <f t="shared" si="23"/>
        <v>0</v>
      </c>
      <c r="G47" s="80"/>
      <c r="H47" s="80">
        <f>7*1.35*1.12</f>
        <v>10.584000000000001</v>
      </c>
      <c r="K47"/>
      <c r="L47"/>
      <c r="M47"/>
      <c r="N47"/>
      <c r="O47"/>
      <c r="P47"/>
      <c r="Q47"/>
      <c r="R47"/>
      <c r="S47"/>
      <c r="T47"/>
      <c r="U47"/>
    </row>
    <row r="48" spans="1:21" s="20" customFormat="1" x14ac:dyDescent="0.25">
      <c r="A48" s="37"/>
      <c r="B48" s="41" t="s">
        <v>35</v>
      </c>
      <c r="C48" s="39" t="s">
        <v>214</v>
      </c>
      <c r="D48" s="71">
        <f t="shared" si="21"/>
        <v>3.4158276923076922</v>
      </c>
      <c r="E48" s="71">
        <f t="shared" si="22"/>
        <v>0</v>
      </c>
      <c r="F48" s="72">
        <f t="shared" si="23"/>
        <v>0</v>
      </c>
      <c r="G48" s="80"/>
      <c r="H48" s="80">
        <f>(1/0.65*0.06*0.08)*350*1.18*1.12</f>
        <v>3.4158276923076922</v>
      </c>
      <c r="K48"/>
      <c r="L48"/>
      <c r="M48"/>
      <c r="N48"/>
      <c r="O48"/>
      <c r="P48"/>
      <c r="Q48"/>
      <c r="R48"/>
      <c r="S48"/>
      <c r="T48"/>
      <c r="U48"/>
    </row>
    <row r="49" spans="1:21" s="20" customFormat="1" x14ac:dyDescent="0.25">
      <c r="A49" s="37"/>
      <c r="B49" s="41" t="s">
        <v>35</v>
      </c>
      <c r="C49" s="39" t="s">
        <v>215</v>
      </c>
      <c r="D49" s="71">
        <f t="shared" si="21"/>
        <v>3.0837333333333343</v>
      </c>
      <c r="E49" s="71">
        <f t="shared" si="22"/>
        <v>0</v>
      </c>
      <c r="F49" s="72">
        <f t="shared" si="23"/>
        <v>0</v>
      </c>
      <c r="G49" s="80"/>
      <c r="H49" s="80">
        <f>(1/0.3*0.05*0.04)*350*1.18*1.12</f>
        <v>3.0837333333333343</v>
      </c>
      <c r="K49"/>
      <c r="L49"/>
      <c r="M49"/>
      <c r="N49"/>
      <c r="O49"/>
      <c r="P49"/>
      <c r="Q49"/>
      <c r="R49"/>
      <c r="S49"/>
      <c r="T49"/>
      <c r="U49"/>
    </row>
    <row r="50" spans="1:21" s="20" customFormat="1" x14ac:dyDescent="0.25">
      <c r="A50" s="37"/>
      <c r="B50" s="41" t="s">
        <v>35</v>
      </c>
      <c r="C50" s="39" t="s">
        <v>211</v>
      </c>
      <c r="D50" s="71">
        <f t="shared" ref="D50" si="24">G50+H50</f>
        <v>9.3379999999999992</v>
      </c>
      <c r="E50" s="71">
        <f t="shared" si="22"/>
        <v>0</v>
      </c>
      <c r="F50" s="72">
        <f t="shared" ref="F50" si="25">G50/50</f>
        <v>0</v>
      </c>
      <c r="G50" s="80"/>
      <c r="H50" s="80">
        <f>290*0.025*1.15*1.12</f>
        <v>9.3379999999999992</v>
      </c>
      <c r="J50" s="39"/>
      <c r="K50"/>
      <c r="L50"/>
      <c r="M50"/>
      <c r="N50"/>
      <c r="O50"/>
      <c r="P50"/>
      <c r="Q50"/>
      <c r="R50"/>
      <c r="S50"/>
      <c r="T50"/>
      <c r="U50"/>
    </row>
    <row r="51" spans="1:21" s="20" customFormat="1" x14ac:dyDescent="0.25">
      <c r="A51" s="37"/>
      <c r="B51" s="41" t="s">
        <v>35</v>
      </c>
      <c r="C51" s="39" t="s">
        <v>243</v>
      </c>
      <c r="D51" s="71">
        <f>G51+H51</f>
        <v>2.4640000000000004</v>
      </c>
      <c r="E51" s="71">
        <f>A52*D51</f>
        <v>0</v>
      </c>
      <c r="F51" s="72">
        <f>G51/50</f>
        <v>0</v>
      </c>
      <c r="G51" s="80"/>
      <c r="H51" s="80">
        <f>1.12*2*1.1</f>
        <v>2.4640000000000004</v>
      </c>
      <c r="K51"/>
      <c r="L51"/>
      <c r="M51"/>
      <c r="N51"/>
      <c r="O51"/>
      <c r="P51"/>
      <c r="Q51"/>
      <c r="R51"/>
      <c r="S51"/>
      <c r="T51"/>
      <c r="U51"/>
    </row>
    <row r="52" spans="1:21" s="20" customFormat="1" x14ac:dyDescent="0.25">
      <c r="A52" s="37"/>
      <c r="I52" s="71">
        <f>SUM(H43:H49)+H51</f>
        <v>72.20984902564102</v>
      </c>
      <c r="J52" s="39" t="s">
        <v>436</v>
      </c>
      <c r="K52"/>
      <c r="L52"/>
      <c r="M52"/>
      <c r="N52"/>
      <c r="O52"/>
      <c r="P52"/>
      <c r="Q52"/>
      <c r="R52"/>
      <c r="S52"/>
      <c r="T52"/>
      <c r="U52"/>
    </row>
    <row r="53" spans="1:21" s="20" customFormat="1" x14ac:dyDescent="0.25">
      <c r="A53" s="37"/>
      <c r="B53" s="46" t="s">
        <v>35</v>
      </c>
      <c r="C53" s="36" t="s">
        <v>433</v>
      </c>
      <c r="D53" s="71">
        <f t="shared" ref="D53" si="26">G53+H53</f>
        <v>11.048000000000002</v>
      </c>
      <c r="E53" s="71">
        <f>A51*D53</f>
        <v>0</v>
      </c>
      <c r="F53" s="72">
        <f t="shared" ref="F53" si="27">G53/50</f>
        <v>0.1</v>
      </c>
      <c r="G53" s="80">
        <f>0.1*50</f>
        <v>5</v>
      </c>
      <c r="H53" s="80">
        <f>4*1.35*1.12</f>
        <v>6.0480000000000009</v>
      </c>
      <c r="I53" s="71">
        <f>SUM(H43:H48)+H50+H51</f>
        <v>78.464115692307686</v>
      </c>
      <c r="J53" s="39" t="s">
        <v>435</v>
      </c>
      <c r="K53"/>
      <c r="L53"/>
      <c r="M53"/>
      <c r="N53"/>
      <c r="O53"/>
      <c r="P53"/>
      <c r="Q53"/>
      <c r="R53"/>
      <c r="S53"/>
      <c r="T53"/>
      <c r="U53"/>
    </row>
    <row r="54" spans="1:21" s="20" customFormat="1" x14ac:dyDescent="0.25">
      <c r="A54" s="37"/>
      <c r="B54" s="46"/>
      <c r="C54" s="36"/>
      <c r="D54" s="71"/>
      <c r="E54" s="71"/>
      <c r="F54" s="72"/>
      <c r="G54" s="71"/>
      <c r="H54" s="71"/>
      <c r="K54"/>
      <c r="L54"/>
      <c r="M54"/>
      <c r="N54"/>
      <c r="O54"/>
      <c r="P54"/>
      <c r="Q54"/>
      <c r="R54"/>
      <c r="S54"/>
      <c r="T54"/>
      <c r="U54"/>
    </row>
    <row r="55" spans="1:21" s="20" customFormat="1" x14ac:dyDescent="0.25">
      <c r="A55" s="37"/>
      <c r="B55"/>
      <c r="C55" s="54" t="s">
        <v>275</v>
      </c>
      <c r="D55" s="71"/>
      <c r="E55" s="71"/>
      <c r="F55" s="72"/>
      <c r="G55" s="80"/>
      <c r="H55" s="80"/>
      <c r="K55"/>
      <c r="L55"/>
      <c r="M55"/>
      <c r="N55"/>
      <c r="O55"/>
      <c r="P55"/>
      <c r="Q55"/>
      <c r="R55"/>
      <c r="S55"/>
      <c r="T55"/>
      <c r="U55"/>
    </row>
    <row r="56" spans="1:21" s="20" customFormat="1" x14ac:dyDescent="0.25">
      <c r="A56" s="37"/>
      <c r="B56" s="46" t="s">
        <v>35</v>
      </c>
      <c r="C56" s="36" t="s">
        <v>221</v>
      </c>
      <c r="D56" s="71">
        <f t="shared" si="21"/>
        <v>19.32</v>
      </c>
      <c r="E56" s="71">
        <f t="shared" ref="E56:E61" si="28">A56*D56</f>
        <v>0</v>
      </c>
      <c r="F56" s="72">
        <f t="shared" si="23"/>
        <v>0</v>
      </c>
      <c r="G56" s="80"/>
      <c r="H56" s="80">
        <f>15*1.15*1.12</f>
        <v>19.32</v>
      </c>
      <c r="K56"/>
      <c r="L56"/>
      <c r="M56"/>
      <c r="N56"/>
      <c r="O56"/>
      <c r="P56"/>
      <c r="Q56"/>
      <c r="R56"/>
      <c r="S56"/>
      <c r="T56"/>
      <c r="U56"/>
    </row>
    <row r="57" spans="1:21" s="20" customFormat="1" x14ac:dyDescent="0.25">
      <c r="A57" s="37"/>
      <c r="B57" s="41" t="s">
        <v>35</v>
      </c>
      <c r="C57" s="39" t="s">
        <v>18</v>
      </c>
      <c r="D57" s="71">
        <f t="shared" si="21"/>
        <v>10.584000000000001</v>
      </c>
      <c r="E57" s="71">
        <f t="shared" si="28"/>
        <v>0</v>
      </c>
      <c r="F57" s="72">
        <f t="shared" si="23"/>
        <v>0</v>
      </c>
      <c r="G57" s="80"/>
      <c r="H57" s="80">
        <f>7*1.35*1.12</f>
        <v>10.584000000000001</v>
      </c>
      <c r="K57"/>
      <c r="L57"/>
      <c r="M57"/>
      <c r="N57"/>
      <c r="O57"/>
      <c r="P57"/>
      <c r="Q57"/>
      <c r="R57"/>
      <c r="S57"/>
      <c r="T57"/>
      <c r="U57"/>
    </row>
    <row r="58" spans="1:21" s="20" customFormat="1" x14ac:dyDescent="0.25">
      <c r="A58" s="39"/>
      <c r="B58" s="46" t="s">
        <v>35</v>
      </c>
      <c r="C58" s="36" t="s">
        <v>246</v>
      </c>
      <c r="D58" s="71">
        <f>G58+H58</f>
        <v>5.1725390769230772</v>
      </c>
      <c r="E58" s="71">
        <f t="shared" si="28"/>
        <v>0</v>
      </c>
      <c r="F58" s="72">
        <f>G58/50</f>
        <v>0</v>
      </c>
      <c r="G58" s="79"/>
      <c r="H58" s="80">
        <f>(1/0.65*0.06*0.08)*530*1.18*1.12</f>
        <v>5.1725390769230772</v>
      </c>
      <c r="K58"/>
      <c r="L58"/>
      <c r="M58"/>
      <c r="N58"/>
      <c r="O58"/>
      <c r="P58"/>
      <c r="Q58"/>
      <c r="R58"/>
      <c r="S58"/>
      <c r="T58"/>
      <c r="U58"/>
    </row>
    <row r="59" spans="1:21" s="20" customFormat="1" x14ac:dyDescent="0.25">
      <c r="A59" s="39"/>
      <c r="B59" s="41" t="s">
        <v>35</v>
      </c>
      <c r="C59" s="39" t="s">
        <v>214</v>
      </c>
      <c r="D59" s="71">
        <f>G59+H59</f>
        <v>3.4158276923076922</v>
      </c>
      <c r="E59" s="71">
        <f t="shared" si="28"/>
        <v>0</v>
      </c>
      <c r="F59" s="72">
        <f>G59/50</f>
        <v>0</v>
      </c>
      <c r="G59" s="80"/>
      <c r="H59" s="80">
        <f>(1/0.65*0.06*0.08)*350*1.18*1.12</f>
        <v>3.4158276923076922</v>
      </c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B60" s="41" t="s">
        <v>35</v>
      </c>
      <c r="C60" s="39" t="s">
        <v>215</v>
      </c>
      <c r="D60" s="71">
        <f>G60+H60</f>
        <v>3.0837333333333343</v>
      </c>
      <c r="E60" s="71">
        <f t="shared" si="28"/>
        <v>0</v>
      </c>
      <c r="F60" s="72">
        <f>G60/50</f>
        <v>0</v>
      </c>
      <c r="G60" s="80"/>
      <c r="H60" s="80">
        <f>(1/0.3*0.05*0.04)*350*1.18*1.12</f>
        <v>3.0837333333333343</v>
      </c>
    </row>
    <row r="61" spans="1:21" x14ac:dyDescent="0.25">
      <c r="B61" s="41" t="s">
        <v>35</v>
      </c>
      <c r="C61" s="39" t="s">
        <v>211</v>
      </c>
      <c r="D61" s="71">
        <f>G61+H61</f>
        <v>9.3379999999999992</v>
      </c>
      <c r="E61" s="71">
        <f t="shared" si="28"/>
        <v>0</v>
      </c>
      <c r="F61" s="72">
        <f t="shared" ref="F61" si="29">G61/50</f>
        <v>0</v>
      </c>
      <c r="G61" s="80"/>
      <c r="H61" s="80">
        <f>290*0.025*1.15*1.12</f>
        <v>9.3379999999999992</v>
      </c>
    </row>
    <row r="62" spans="1:21" x14ac:dyDescent="0.25">
      <c r="B62" s="41"/>
      <c r="C62" s="39"/>
      <c r="D62" s="71"/>
      <c r="E62" s="71"/>
      <c r="F62" s="72"/>
      <c r="G62" s="80"/>
      <c r="H62" s="80"/>
      <c r="I62" s="71">
        <f>SUM(H56:H60)</f>
        <v>41.576100102564112</v>
      </c>
      <c r="J62" s="39" t="s">
        <v>436</v>
      </c>
    </row>
    <row r="63" spans="1:21" x14ac:dyDescent="0.25">
      <c r="B63" s="46" t="s">
        <v>35</v>
      </c>
      <c r="C63" s="36" t="s">
        <v>433</v>
      </c>
      <c r="D63" s="71">
        <f t="shared" ref="D63" si="30">G63+H63</f>
        <v>11.199200000000001</v>
      </c>
      <c r="E63" s="71">
        <f>A61*D63</f>
        <v>0</v>
      </c>
      <c r="F63" s="72">
        <f t="shared" ref="F63" si="31">G63/50</f>
        <v>0.1</v>
      </c>
      <c r="G63" s="80">
        <f>0.1*50</f>
        <v>5</v>
      </c>
      <c r="H63" s="80">
        <f>4.1*1.35*1.12</f>
        <v>6.1992000000000012</v>
      </c>
      <c r="I63" s="71">
        <f>SUM(H56:H59)+H61</f>
        <v>47.830366769230778</v>
      </c>
      <c r="J63" s="39" t="s">
        <v>435</v>
      </c>
    </row>
    <row r="64" spans="1:21" x14ac:dyDescent="0.25">
      <c r="B64" s="46"/>
      <c r="C64" s="36"/>
      <c r="D64" s="71"/>
      <c r="E64" s="71"/>
      <c r="F64" s="72"/>
      <c r="G64" s="80"/>
      <c r="H64" s="80"/>
      <c r="I64" s="71"/>
      <c r="J64" s="39"/>
    </row>
    <row r="65" spans="2:13" x14ac:dyDescent="0.25">
      <c r="B65" s="46"/>
      <c r="C65" s="36"/>
      <c r="D65" s="71"/>
      <c r="E65" s="71"/>
      <c r="F65" s="72"/>
      <c r="G65" s="80"/>
      <c r="H65" s="80"/>
      <c r="I65" s="71"/>
      <c r="J65" s="39"/>
    </row>
    <row r="66" spans="2:13" x14ac:dyDescent="0.25">
      <c r="C66" s="48" t="s">
        <v>276</v>
      </c>
      <c r="D66"/>
      <c r="E66"/>
      <c r="F66"/>
      <c r="G66" s="83"/>
      <c r="H66" s="83"/>
    </row>
    <row r="67" spans="2:13" x14ac:dyDescent="0.25">
      <c r="B67" s="46" t="s">
        <v>24</v>
      </c>
      <c r="C67" s="36" t="s">
        <v>66</v>
      </c>
      <c r="D67" s="71">
        <f>G67+H67</f>
        <v>65</v>
      </c>
      <c r="E67" s="71">
        <f>A66*D67</f>
        <v>0</v>
      </c>
      <c r="F67" s="72">
        <f>G67/50</f>
        <v>1</v>
      </c>
      <c r="G67" s="80">
        <v>50</v>
      </c>
      <c r="H67" s="80">
        <v>15</v>
      </c>
    </row>
    <row r="68" spans="2:13" ht="15.75" x14ac:dyDescent="0.3">
      <c r="B68" s="49" t="s">
        <v>24</v>
      </c>
      <c r="C68" s="39" t="s">
        <v>264</v>
      </c>
      <c r="D68" s="71">
        <f>G68+H68</f>
        <v>16.0621504</v>
      </c>
      <c r="E68" s="71">
        <f>A68*D68</f>
        <v>0</v>
      </c>
      <c r="F68" s="72">
        <f>G68/50</f>
        <v>0.25</v>
      </c>
      <c r="G68" s="80">
        <f>(2*75+50)/16</f>
        <v>12.5</v>
      </c>
      <c r="H68" s="80">
        <f>10.6*1.12*1.18*0.24+0.2</f>
        <v>3.5621503999999997</v>
      </c>
    </row>
    <row r="69" spans="2:13" x14ac:dyDescent="0.25">
      <c r="B69" s="46" t="s">
        <v>24</v>
      </c>
      <c r="C69" s="36" t="s">
        <v>157</v>
      </c>
      <c r="D69" s="71">
        <f t="shared" ref="D69:D74" si="32">G69+H69</f>
        <v>37.043999999999997</v>
      </c>
      <c r="E69" s="71">
        <f>A69*D69</f>
        <v>0</v>
      </c>
      <c r="F69" s="72">
        <f t="shared" ref="F69:F74" si="33">G69/50</f>
        <v>0.63</v>
      </c>
      <c r="G69" s="80">
        <f>0.63*50</f>
        <v>31.5</v>
      </c>
      <c r="H69" s="80">
        <f>0.25*1.1*1.12*18</f>
        <v>5.5440000000000005</v>
      </c>
    </row>
    <row r="70" spans="2:13" x14ac:dyDescent="0.25">
      <c r="B70" s="46" t="s">
        <v>24</v>
      </c>
      <c r="C70" s="36" t="s">
        <v>230</v>
      </c>
      <c r="D70" s="71">
        <f t="shared" si="32"/>
        <v>47.588000000000001</v>
      </c>
      <c r="E70" s="71">
        <f>A70*D70</f>
        <v>0</v>
      </c>
      <c r="F70" s="72">
        <f t="shared" si="33"/>
        <v>0.73</v>
      </c>
      <c r="G70" s="80">
        <f>0.73*50</f>
        <v>36.5</v>
      </c>
      <c r="H70" s="80">
        <f>0.5*1.1*1.12*18</f>
        <v>11.088000000000001</v>
      </c>
    </row>
    <row r="71" spans="2:13" x14ac:dyDescent="0.25">
      <c r="B71" s="46" t="s">
        <v>24</v>
      </c>
      <c r="C71" s="36" t="s">
        <v>158</v>
      </c>
      <c r="D71" s="71">
        <f t="shared" si="32"/>
        <v>9.1960000000000015</v>
      </c>
      <c r="E71" s="71">
        <f>A71*D71</f>
        <v>0</v>
      </c>
      <c r="F71" s="72">
        <f t="shared" si="33"/>
        <v>0.11</v>
      </c>
      <c r="G71" s="80">
        <f>0.11*50</f>
        <v>5.5</v>
      </c>
      <c r="H71" s="80">
        <f>20*0.15*1.12*1.1</f>
        <v>3.6960000000000006</v>
      </c>
    </row>
    <row r="72" spans="2:13" x14ac:dyDescent="0.25">
      <c r="B72" s="46" t="s">
        <v>150</v>
      </c>
      <c r="C72" s="36" t="s">
        <v>159</v>
      </c>
      <c r="D72" s="71">
        <f t="shared" si="32"/>
        <v>452.12799999999999</v>
      </c>
      <c r="E72" s="71">
        <f>A72*D72</f>
        <v>0</v>
      </c>
      <c r="F72" s="72">
        <f t="shared" si="33"/>
        <v>6</v>
      </c>
      <c r="G72" s="80">
        <f>3*2*50</f>
        <v>300</v>
      </c>
      <c r="H72" s="80">
        <f>2*(6+16+6)*1.12*1.15+80</f>
        <v>152.12799999999999</v>
      </c>
    </row>
    <row r="73" spans="2:13" x14ac:dyDescent="0.25">
      <c r="B73" s="46" t="s">
        <v>24</v>
      </c>
      <c r="C73" s="36" t="s">
        <v>160</v>
      </c>
      <c r="D73" s="71">
        <f>G73+H73</f>
        <v>9.5655999999999999</v>
      </c>
      <c r="E73" s="71">
        <f>A72*D73</f>
        <v>0</v>
      </c>
      <c r="F73" s="72">
        <f>G73/50</f>
        <v>0.11</v>
      </c>
      <c r="G73" s="80">
        <f>0.11*50</f>
        <v>5.5</v>
      </c>
      <c r="H73" s="80">
        <f>22*0.15*1.12*1.1</f>
        <v>4.0656000000000008</v>
      </c>
    </row>
    <row r="74" spans="2:13" x14ac:dyDescent="0.25">
      <c r="B74" s="46" t="s">
        <v>24</v>
      </c>
      <c r="C74" s="36" t="s">
        <v>247</v>
      </c>
      <c r="D74" s="71">
        <f t="shared" si="32"/>
        <v>11.9552</v>
      </c>
      <c r="E74" s="71">
        <f>A74*D74</f>
        <v>0</v>
      </c>
      <c r="F74" s="72">
        <f t="shared" si="33"/>
        <v>0.1</v>
      </c>
      <c r="G74" s="80">
        <f>0.1*50</f>
        <v>5</v>
      </c>
      <c r="H74" s="80">
        <f>0.3*18*1.12*1.15</f>
        <v>6.9551999999999996</v>
      </c>
    </row>
    <row r="75" spans="2:13" x14ac:dyDescent="0.25">
      <c r="G75" s="80"/>
      <c r="H75" s="80"/>
    </row>
    <row r="76" spans="2:13" x14ac:dyDescent="0.25">
      <c r="G76" s="80"/>
      <c r="H76" s="80"/>
    </row>
    <row r="77" spans="2:13" x14ac:dyDescent="0.25">
      <c r="G77" s="71"/>
      <c r="H77" s="71"/>
    </row>
    <row r="78" spans="2:13" x14ac:dyDescent="0.25">
      <c r="B78" s="18" t="s">
        <v>251</v>
      </c>
      <c r="D78"/>
      <c r="E78"/>
      <c r="F78"/>
      <c r="G78"/>
      <c r="H78"/>
      <c r="I78"/>
      <c r="J78"/>
      <c r="M78" s="19"/>
    </row>
    <row r="79" spans="2:13" x14ac:dyDescent="0.25">
      <c r="D79" t="s">
        <v>71</v>
      </c>
      <c r="E79"/>
      <c r="F79"/>
      <c r="G79" s="57" t="s">
        <v>72</v>
      </c>
      <c r="J79"/>
      <c r="K79" s="144" t="s">
        <v>73</v>
      </c>
      <c r="L79" s="144"/>
      <c r="M79" s="144"/>
    </row>
    <row r="80" spans="2:13" x14ac:dyDescent="0.25">
      <c r="B80" t="s">
        <v>266</v>
      </c>
      <c r="D80"/>
      <c r="E80">
        <v>1</v>
      </c>
      <c r="F80" t="s">
        <v>77</v>
      </c>
      <c r="G80"/>
      <c r="H80" s="56" t="s">
        <v>81</v>
      </c>
      <c r="I80"/>
      <c r="J80"/>
      <c r="K80" s="56" t="s">
        <v>82</v>
      </c>
      <c r="M80" s="58" t="s">
        <v>253</v>
      </c>
    </row>
    <row r="81" spans="1:21" x14ac:dyDescent="0.25">
      <c r="C81" t="s">
        <v>78</v>
      </c>
      <c r="D81">
        <v>65</v>
      </c>
      <c r="E81">
        <v>5</v>
      </c>
      <c r="F81" t="s">
        <v>79</v>
      </c>
      <c r="G81">
        <f>E81*E80</f>
        <v>5</v>
      </c>
      <c r="H81">
        <f>E80*E81*D81</f>
        <v>325</v>
      </c>
      <c r="I81"/>
      <c r="J81"/>
      <c r="K81">
        <f>H81*E98</f>
        <v>18.850000000000001</v>
      </c>
      <c r="M81" s="19"/>
    </row>
    <row r="82" spans="1:21" x14ac:dyDescent="0.25">
      <c r="C82" t="s">
        <v>80</v>
      </c>
      <c r="D82"/>
      <c r="E82">
        <v>35</v>
      </c>
      <c r="F82" t="s">
        <v>81</v>
      </c>
      <c r="G82"/>
      <c r="H82">
        <f>E80*E82</f>
        <v>35</v>
      </c>
      <c r="I82"/>
      <c r="J82"/>
      <c r="K82">
        <f>H82*E98</f>
        <v>2.0300000000000002</v>
      </c>
      <c r="M82" s="19"/>
    </row>
    <row r="83" spans="1:21" x14ac:dyDescent="0.25">
      <c r="C83" t="s">
        <v>257</v>
      </c>
      <c r="D83"/>
      <c r="E83"/>
      <c r="F83" t="s">
        <v>82</v>
      </c>
      <c r="G83">
        <f>E81*E98</f>
        <v>0.29000000000000004</v>
      </c>
      <c r="H83" s="135">
        <f>H81+H82</f>
        <v>360</v>
      </c>
      <c r="K83" s="135">
        <f>H83*E98</f>
        <v>20.880000000000003</v>
      </c>
      <c r="M83" s="19">
        <f>H83*E80</f>
        <v>360</v>
      </c>
    </row>
    <row r="84" spans="1:21" x14ac:dyDescent="0.25">
      <c r="D84"/>
      <c r="E84"/>
      <c r="F84"/>
      <c r="G84"/>
      <c r="H84"/>
      <c r="I84"/>
      <c r="J84"/>
      <c r="K84" s="20"/>
      <c r="M84" s="19"/>
    </row>
    <row r="85" spans="1:21" x14ac:dyDescent="0.25">
      <c r="B85" t="s">
        <v>267</v>
      </c>
      <c r="D85"/>
      <c r="E85">
        <v>1</v>
      </c>
      <c r="F85" t="s">
        <v>35</v>
      </c>
      <c r="G85"/>
      <c r="H85"/>
      <c r="I85"/>
      <c r="J85"/>
      <c r="M85" s="19"/>
    </row>
    <row r="86" spans="1:21" x14ac:dyDescent="0.25">
      <c r="C86" t="s">
        <v>203</v>
      </c>
      <c r="D86">
        <v>53</v>
      </c>
      <c r="E86">
        <v>1.4</v>
      </c>
      <c r="F86" t="s">
        <v>84</v>
      </c>
      <c r="G86">
        <f>E85*E86</f>
        <v>1.4</v>
      </c>
      <c r="I86"/>
      <c r="K86">
        <f>E85*E86*D86</f>
        <v>74.199999999999989</v>
      </c>
      <c r="M86" s="19"/>
    </row>
    <row r="87" spans="1:21" ht="15.75" x14ac:dyDescent="0.3">
      <c r="A87" s="1"/>
      <c r="C87" t="s">
        <v>255</v>
      </c>
      <c r="D87"/>
      <c r="E87">
        <v>6</v>
      </c>
      <c r="F87" t="s">
        <v>82</v>
      </c>
      <c r="G87"/>
      <c r="I87"/>
      <c r="K87">
        <f>E87*E85</f>
        <v>6</v>
      </c>
      <c r="M87" s="19"/>
      <c r="N87" s="69"/>
      <c r="O87" s="69"/>
      <c r="P87" s="1"/>
      <c r="Q87" s="1"/>
      <c r="R87" s="7"/>
      <c r="S87" s="35"/>
      <c r="T87" s="15"/>
      <c r="U87" s="1"/>
    </row>
    <row r="88" spans="1:21" ht="15.75" x14ac:dyDescent="0.3">
      <c r="A88" s="1"/>
      <c r="C88" t="s">
        <v>259</v>
      </c>
      <c r="D88"/>
      <c r="E88">
        <v>0.15</v>
      </c>
      <c r="F88" t="s">
        <v>84</v>
      </c>
      <c r="G88">
        <f>E88*E85</f>
        <v>0.15</v>
      </c>
      <c r="I88"/>
      <c r="K88">
        <f>G88*D86*E85</f>
        <v>7.9499999999999993</v>
      </c>
      <c r="M88" s="19">
        <f>K89*E98</f>
        <v>5.1126999999999994</v>
      </c>
      <c r="N88" s="8"/>
      <c r="O88" s="8"/>
      <c r="P88" s="1"/>
      <c r="Q88" s="1"/>
      <c r="R88" s="1"/>
      <c r="S88" s="15"/>
      <c r="T88" s="1"/>
      <c r="U88" s="1"/>
    </row>
    <row r="89" spans="1:21" ht="15.75" x14ac:dyDescent="0.3">
      <c r="A89" s="1"/>
      <c r="D89"/>
      <c r="E89"/>
      <c r="F89"/>
      <c r="G89"/>
      <c r="H89"/>
      <c r="I89"/>
      <c r="J89"/>
      <c r="K89" s="135">
        <f>SUM(K86:K88)/E85</f>
        <v>88.149999999999991</v>
      </c>
      <c r="M89" s="19"/>
      <c r="N89" s="1"/>
      <c r="O89" s="1"/>
      <c r="P89" s="1"/>
      <c r="Q89" s="1"/>
      <c r="R89" s="1"/>
      <c r="S89" s="1"/>
      <c r="T89" s="1"/>
      <c r="U89" s="1"/>
    </row>
    <row r="90" spans="1:21" ht="15.75" x14ac:dyDescent="0.3">
      <c r="A90" s="1"/>
      <c r="B90" t="s">
        <v>268</v>
      </c>
      <c r="D90"/>
      <c r="E90">
        <v>1</v>
      </c>
      <c r="F90" t="s">
        <v>35</v>
      </c>
      <c r="G90"/>
      <c r="H90"/>
      <c r="I90"/>
      <c r="J90"/>
      <c r="M90" s="19"/>
      <c r="N90" s="1"/>
      <c r="O90" s="1"/>
      <c r="P90" s="1"/>
      <c r="Q90" s="1"/>
      <c r="R90" s="1"/>
      <c r="S90" s="1"/>
      <c r="T90" s="1"/>
      <c r="U90" s="1"/>
    </row>
    <row r="91" spans="1:21" ht="15.75" x14ac:dyDescent="0.3">
      <c r="A91" s="1"/>
      <c r="C91" t="s">
        <v>78</v>
      </c>
      <c r="D91">
        <v>55</v>
      </c>
      <c r="E91">
        <v>0.35</v>
      </c>
      <c r="F91" t="s">
        <v>84</v>
      </c>
      <c r="G91">
        <f>E90*E91</f>
        <v>0.35</v>
      </c>
      <c r="I91"/>
      <c r="J91"/>
      <c r="K91">
        <f>E90*E91*D91</f>
        <v>19.25</v>
      </c>
      <c r="M91" s="19"/>
      <c r="N91" s="1"/>
      <c r="O91" s="1"/>
      <c r="P91" s="1"/>
      <c r="Q91" s="1"/>
      <c r="R91" s="1"/>
      <c r="S91" s="1"/>
      <c r="T91" s="1"/>
      <c r="U91" s="1"/>
    </row>
    <row r="92" spans="1:21" ht="15.75" x14ac:dyDescent="0.3">
      <c r="A92" s="1"/>
      <c r="C92" t="s">
        <v>85</v>
      </c>
      <c r="D92"/>
      <c r="E92">
        <v>4</v>
      </c>
      <c r="F92" t="s">
        <v>82</v>
      </c>
      <c r="G92"/>
      <c r="I92"/>
      <c r="J92"/>
      <c r="K92">
        <f>E92*E90</f>
        <v>4</v>
      </c>
      <c r="M92" s="19"/>
      <c r="N92" s="1"/>
      <c r="O92" s="1"/>
      <c r="P92" s="1"/>
      <c r="Q92" s="1"/>
      <c r="R92" s="1"/>
      <c r="S92" s="1"/>
      <c r="T92" s="1"/>
      <c r="U92" s="1"/>
    </row>
    <row r="93" spans="1:21" ht="15.75" x14ac:dyDescent="0.3">
      <c r="A93" s="1"/>
      <c r="C93" t="s">
        <v>256</v>
      </c>
      <c r="D93"/>
      <c r="E93"/>
      <c r="F93"/>
      <c r="G93"/>
      <c r="H93"/>
      <c r="I93"/>
      <c r="J93"/>
      <c r="M93" s="19"/>
      <c r="N93" s="1"/>
      <c r="O93" s="1"/>
      <c r="P93" s="1"/>
      <c r="Q93" s="1"/>
      <c r="R93" s="1"/>
      <c r="S93" s="1"/>
      <c r="T93" s="1"/>
      <c r="U93" s="1"/>
    </row>
    <row r="94" spans="1:21" ht="16.5" thickBot="1" x14ac:dyDescent="0.35">
      <c r="A94" s="1"/>
      <c r="D94"/>
      <c r="E94"/>
      <c r="F94"/>
      <c r="G94"/>
      <c r="H94"/>
      <c r="I94"/>
      <c r="J94"/>
      <c r="K94" s="48">
        <f>SUM(K91:K92)/E90</f>
        <v>23.25</v>
      </c>
      <c r="M94" s="19">
        <f>E98*K94</f>
        <v>1.3485</v>
      </c>
      <c r="N94" s="1"/>
      <c r="O94" s="1"/>
      <c r="P94" s="1"/>
      <c r="Q94" s="1"/>
      <c r="R94" s="1"/>
      <c r="S94" s="1"/>
      <c r="T94" s="1"/>
      <c r="U94" s="1"/>
    </row>
    <row r="95" spans="1:21" ht="16.5" thickBot="1" x14ac:dyDescent="0.35">
      <c r="A95" s="1"/>
      <c r="D95"/>
      <c r="E95"/>
      <c r="F95"/>
      <c r="G95"/>
      <c r="H95"/>
      <c r="I95"/>
      <c r="J95"/>
      <c r="L95" s="59">
        <f>K83+K94+K89</f>
        <v>132.28</v>
      </c>
      <c r="M95" s="19"/>
      <c r="N95" s="1"/>
      <c r="O95" s="1"/>
      <c r="P95" s="1"/>
      <c r="Q95" s="1"/>
      <c r="R95" s="1"/>
      <c r="S95" s="1"/>
      <c r="T95" s="1"/>
      <c r="U95" s="1"/>
    </row>
    <row r="96" spans="1:21" ht="15.75" x14ac:dyDescent="0.3">
      <c r="A96" s="1"/>
      <c r="C96" t="s">
        <v>86</v>
      </c>
      <c r="D96"/>
      <c r="E96">
        <v>1</v>
      </c>
      <c r="F96" t="s">
        <v>77</v>
      </c>
      <c r="G96"/>
      <c r="H96"/>
      <c r="I96"/>
      <c r="J96"/>
      <c r="L96" t="s">
        <v>477</v>
      </c>
      <c r="M96" s="19"/>
    </row>
    <row r="97" spans="2:14" x14ac:dyDescent="0.25">
      <c r="C97" t="s">
        <v>87</v>
      </c>
      <c r="D97"/>
      <c r="E97">
        <f>580*1.12</f>
        <v>649.6</v>
      </c>
      <c r="F97" t="s">
        <v>81</v>
      </c>
      <c r="G97"/>
      <c r="H97"/>
      <c r="I97"/>
      <c r="J97"/>
      <c r="L97" s="55"/>
      <c r="M97" s="19"/>
    </row>
    <row r="98" spans="2:14" x14ac:dyDescent="0.25">
      <c r="D98"/>
      <c r="E98" s="21">
        <v>5.8000000000000003E-2</v>
      </c>
      <c r="F98" t="s">
        <v>88</v>
      </c>
      <c r="G98"/>
      <c r="H98"/>
      <c r="I98"/>
      <c r="J98"/>
      <c r="M98" s="19"/>
    </row>
    <row r="99" spans="2:14" ht="15.75" thickBot="1" x14ac:dyDescent="0.3">
      <c r="D99"/>
      <c r="E99"/>
      <c r="F99"/>
      <c r="G99"/>
      <c r="H99"/>
      <c r="I99"/>
      <c r="J99"/>
      <c r="K99" s="20">
        <f>E96*E98*E97</f>
        <v>37.6768</v>
      </c>
      <c r="M99" s="19">
        <f>E97*E96</f>
        <v>649.6</v>
      </c>
    </row>
    <row r="100" spans="2:14" x14ac:dyDescent="0.25">
      <c r="B100" s="22"/>
      <c r="C100" s="23"/>
      <c r="D100" s="23"/>
      <c r="E100" s="23"/>
      <c r="F100" s="23"/>
      <c r="G100" s="62">
        <f>SUM(G83:G98)</f>
        <v>2.19</v>
      </c>
      <c r="H100" s="23"/>
      <c r="I100" s="23"/>
      <c r="J100" s="23"/>
      <c r="K100" s="66">
        <f>SUM(K83+K89+K94+K99)</f>
        <v>169.95679999999999</v>
      </c>
      <c r="L100" s="25" t="s">
        <v>476</v>
      </c>
      <c r="M100" s="66">
        <f>SUM(M83:M99)</f>
        <v>1016.0612000000001</v>
      </c>
      <c r="N100" t="s">
        <v>476</v>
      </c>
    </row>
    <row r="101" spans="2:14" ht="15.75" thickBot="1" x14ac:dyDescent="0.3">
      <c r="D101"/>
      <c r="E101"/>
      <c r="F101"/>
      <c r="G101" s="63" t="s">
        <v>84</v>
      </c>
      <c r="H101"/>
      <c r="I101"/>
      <c r="J101"/>
      <c r="K101" s="63" t="s">
        <v>97</v>
      </c>
      <c r="L101" s="56"/>
      <c r="M101" s="68" t="s">
        <v>258</v>
      </c>
    </row>
    <row r="102" spans="2:14" x14ac:dyDescent="0.25">
      <c r="D102"/>
      <c r="E102"/>
      <c r="F102"/>
      <c r="G102"/>
      <c r="H102"/>
      <c r="I102"/>
      <c r="J102"/>
    </row>
    <row r="106" spans="2:14" x14ac:dyDescent="0.25">
      <c r="B106" s="18" t="s">
        <v>434</v>
      </c>
      <c r="D106"/>
      <c r="E106"/>
      <c r="F106"/>
      <c r="G106"/>
      <c r="H106"/>
      <c r="I106"/>
      <c r="J106"/>
      <c r="M106" s="19"/>
    </row>
    <row r="107" spans="2:14" x14ac:dyDescent="0.25">
      <c r="D107" t="s">
        <v>71</v>
      </c>
      <c r="E107"/>
      <c r="F107"/>
      <c r="G107" s="18" t="s">
        <v>72</v>
      </c>
      <c r="H107" t="s">
        <v>73</v>
      </c>
      <c r="I107"/>
      <c r="J107"/>
      <c r="K107" s="56" t="s">
        <v>82</v>
      </c>
      <c r="L107" s="56"/>
      <c r="M107" s="58" t="s">
        <v>253</v>
      </c>
    </row>
    <row r="108" spans="2:14" x14ac:dyDescent="0.25">
      <c r="B108" t="s">
        <v>266</v>
      </c>
      <c r="D108"/>
      <c r="E108">
        <v>1</v>
      </c>
      <c r="F108" t="s">
        <v>77</v>
      </c>
      <c r="G108"/>
      <c r="H108"/>
      <c r="I108"/>
      <c r="J108"/>
      <c r="M108" s="19"/>
    </row>
    <row r="109" spans="2:14" x14ac:dyDescent="0.25">
      <c r="C109" t="s">
        <v>78</v>
      </c>
      <c r="D109">
        <v>52</v>
      </c>
      <c r="E109">
        <v>4.3</v>
      </c>
      <c r="F109" t="s">
        <v>79</v>
      </c>
      <c r="G109">
        <f>E109*E108</f>
        <v>4.3</v>
      </c>
      <c r="H109">
        <f>E108*E109*D109</f>
        <v>223.6</v>
      </c>
      <c r="I109"/>
      <c r="J109"/>
      <c r="M109" s="19"/>
    </row>
    <row r="110" spans="2:14" x14ac:dyDescent="0.25">
      <c r="C110" t="s">
        <v>80</v>
      </c>
      <c r="D110"/>
      <c r="E110">
        <v>25</v>
      </c>
      <c r="F110" t="s">
        <v>81</v>
      </c>
      <c r="G110"/>
      <c r="H110">
        <f>E108*E110</f>
        <v>25</v>
      </c>
      <c r="I110"/>
      <c r="J110"/>
      <c r="M110" s="19"/>
    </row>
    <row r="111" spans="2:14" x14ac:dyDescent="0.25">
      <c r="C111" t="s">
        <v>257</v>
      </c>
      <c r="D111"/>
      <c r="E111"/>
      <c r="F111" t="s">
        <v>82</v>
      </c>
      <c r="G111">
        <f>E109*E126</f>
        <v>0.215</v>
      </c>
      <c r="H111"/>
      <c r="I111">
        <f>H109+H110</f>
        <v>248.6</v>
      </c>
      <c r="J111" t="s">
        <v>81</v>
      </c>
      <c r="K111" s="20">
        <f>I111*E126</f>
        <v>12.43</v>
      </c>
      <c r="M111" s="19">
        <f>I111*E108</f>
        <v>248.6</v>
      </c>
    </row>
    <row r="112" spans="2:14" x14ac:dyDescent="0.25">
      <c r="D112"/>
      <c r="E112"/>
      <c r="F112"/>
      <c r="G112"/>
      <c r="H112"/>
      <c r="I112"/>
      <c r="J112"/>
      <c r="K112" s="20"/>
      <c r="M112" s="19"/>
    </row>
    <row r="113" spans="2:13" x14ac:dyDescent="0.25">
      <c r="B113" t="s">
        <v>267</v>
      </c>
      <c r="D113"/>
      <c r="E113">
        <v>1</v>
      </c>
      <c r="F113" t="s">
        <v>35</v>
      </c>
      <c r="G113"/>
      <c r="H113"/>
      <c r="I113"/>
      <c r="J113"/>
      <c r="M113" s="19"/>
    </row>
    <row r="114" spans="2:13" x14ac:dyDescent="0.25">
      <c r="C114" t="s">
        <v>203</v>
      </c>
      <c r="D114">
        <v>52</v>
      </c>
      <c r="E114">
        <v>1.4</v>
      </c>
      <c r="F114" t="s">
        <v>84</v>
      </c>
      <c r="G114">
        <f>E113*E114</f>
        <v>1.4</v>
      </c>
      <c r="H114">
        <f>E113*E114*D114</f>
        <v>72.8</v>
      </c>
      <c r="I114"/>
      <c r="J114"/>
      <c r="M114" s="19"/>
    </row>
    <row r="115" spans="2:13" x14ac:dyDescent="0.25">
      <c r="C115" t="s">
        <v>255</v>
      </c>
      <c r="D115"/>
      <c r="E115">
        <v>6</v>
      </c>
      <c r="F115" t="s">
        <v>82</v>
      </c>
      <c r="G115"/>
      <c r="H115">
        <f>E115*E113</f>
        <v>6</v>
      </c>
      <c r="I115"/>
      <c r="J115"/>
      <c r="M115" s="19"/>
    </row>
    <row r="116" spans="2:13" x14ac:dyDescent="0.25">
      <c r="C116" t="s">
        <v>259</v>
      </c>
      <c r="D116"/>
      <c r="E116">
        <v>0.15</v>
      </c>
      <c r="F116" t="s">
        <v>84</v>
      </c>
      <c r="G116">
        <f>E116*E113</f>
        <v>0.15</v>
      </c>
      <c r="H116">
        <f>G116*D114*E113</f>
        <v>7.8</v>
      </c>
      <c r="I116"/>
      <c r="J116"/>
      <c r="K116" s="20">
        <f>SUM(H114:H116)/E113</f>
        <v>86.6</v>
      </c>
      <c r="M116" s="19">
        <f>K116*E126</f>
        <v>4.33</v>
      </c>
    </row>
    <row r="117" spans="2:13" x14ac:dyDescent="0.25">
      <c r="D117"/>
      <c r="E117"/>
      <c r="F117"/>
      <c r="G117"/>
      <c r="H117"/>
      <c r="I117"/>
      <c r="J117"/>
      <c r="K117" s="20"/>
      <c r="M117" s="19"/>
    </row>
    <row r="118" spans="2:13" x14ac:dyDescent="0.25">
      <c r="B118" t="s">
        <v>268</v>
      </c>
      <c r="D118"/>
      <c r="E118">
        <v>1</v>
      </c>
      <c r="F118" t="s">
        <v>35</v>
      </c>
      <c r="G118"/>
      <c r="H118"/>
      <c r="I118"/>
      <c r="J118"/>
      <c r="M118" s="19"/>
    </row>
    <row r="119" spans="2:13" x14ac:dyDescent="0.25">
      <c r="C119" t="s">
        <v>78</v>
      </c>
      <c r="D119">
        <v>52</v>
      </c>
      <c r="E119">
        <v>0.33</v>
      </c>
      <c r="F119" t="s">
        <v>84</v>
      </c>
      <c r="G119">
        <f>E118*E119</f>
        <v>0.33</v>
      </c>
      <c r="H119">
        <f>E118*E119*D119</f>
        <v>17.16</v>
      </c>
      <c r="I119"/>
      <c r="J119"/>
      <c r="M119" s="19"/>
    </row>
    <row r="120" spans="2:13" x14ac:dyDescent="0.25">
      <c r="C120" t="s">
        <v>85</v>
      </c>
      <c r="D120"/>
      <c r="E120">
        <v>4</v>
      </c>
      <c r="F120" t="s">
        <v>82</v>
      </c>
      <c r="G120"/>
      <c r="H120">
        <f>E120*E118</f>
        <v>4</v>
      </c>
      <c r="I120"/>
      <c r="J120"/>
      <c r="M120" s="19"/>
    </row>
    <row r="121" spans="2:13" x14ac:dyDescent="0.25">
      <c r="C121" t="s">
        <v>256</v>
      </c>
      <c r="D121"/>
      <c r="E121"/>
      <c r="F121"/>
      <c r="G121"/>
      <c r="H121"/>
      <c r="I121"/>
      <c r="J121"/>
      <c r="M121" s="19"/>
    </row>
    <row r="122" spans="2:13" ht="15.75" thickBot="1" x14ac:dyDescent="0.3">
      <c r="D122"/>
      <c r="E122"/>
      <c r="F122"/>
      <c r="G122"/>
      <c r="H122"/>
      <c r="I122"/>
      <c r="J122"/>
      <c r="K122">
        <f>SUM(H119:H121)/E118</f>
        <v>21.16</v>
      </c>
      <c r="M122" s="19">
        <f>E118*K122</f>
        <v>21.16</v>
      </c>
    </row>
    <row r="123" spans="2:13" ht="15.75" thickBot="1" x14ac:dyDescent="0.3">
      <c r="D123"/>
      <c r="E123"/>
      <c r="F123"/>
      <c r="G123"/>
      <c r="H123"/>
      <c r="I123"/>
      <c r="J123"/>
      <c r="L123" s="59">
        <f>K111+K122+K116</f>
        <v>120.19</v>
      </c>
      <c r="M123" s="19"/>
    </row>
    <row r="124" spans="2:13" x14ac:dyDescent="0.25">
      <c r="C124" t="s">
        <v>86</v>
      </c>
      <c r="D124"/>
      <c r="E124">
        <v>1</v>
      </c>
      <c r="F124" t="s">
        <v>77</v>
      </c>
      <c r="G124"/>
      <c r="H124"/>
      <c r="I124"/>
      <c r="J124"/>
      <c r="M124" s="19"/>
    </row>
    <row r="125" spans="2:13" x14ac:dyDescent="0.25">
      <c r="C125" t="s">
        <v>87</v>
      </c>
      <c r="D125"/>
      <c r="E125">
        <f>580*1.12</f>
        <v>649.6</v>
      </c>
      <c r="F125" t="s">
        <v>81</v>
      </c>
      <c r="G125"/>
      <c r="H125">
        <f>E124*E125</f>
        <v>649.6</v>
      </c>
      <c r="I125"/>
      <c r="J125"/>
      <c r="L125" s="55"/>
      <c r="M125" s="19"/>
    </row>
    <row r="126" spans="2:13" x14ac:dyDescent="0.25">
      <c r="D126"/>
      <c r="E126" s="21">
        <v>0.05</v>
      </c>
      <c r="F126" t="s">
        <v>88</v>
      </c>
      <c r="G126"/>
      <c r="H126"/>
      <c r="I126"/>
      <c r="J126"/>
      <c r="M126" s="19"/>
    </row>
    <row r="127" spans="2:13" ht="15.75" thickBot="1" x14ac:dyDescent="0.3">
      <c r="D127"/>
      <c r="E127"/>
      <c r="F127"/>
      <c r="G127"/>
      <c r="H127"/>
      <c r="I127"/>
      <c r="J127"/>
      <c r="K127" s="20">
        <f>E124*E126*E125</f>
        <v>32.480000000000004</v>
      </c>
      <c r="M127" s="19">
        <f>K127*E118</f>
        <v>32.480000000000004</v>
      </c>
    </row>
    <row r="128" spans="2:13" x14ac:dyDescent="0.25">
      <c r="B128" s="22"/>
      <c r="C128" s="23"/>
      <c r="D128" s="23"/>
      <c r="E128" s="23"/>
      <c r="F128" s="23"/>
      <c r="G128" s="62">
        <f>SUM(G111:G126)</f>
        <v>2.0949999999999998</v>
      </c>
      <c r="H128" s="23">
        <f>SUM(H109:H126)</f>
        <v>1005.96</v>
      </c>
      <c r="I128" s="23"/>
      <c r="J128" s="23"/>
      <c r="K128" s="66">
        <f>SUM(K111:K127)</f>
        <v>152.67000000000002</v>
      </c>
      <c r="L128" s="25"/>
      <c r="M128" s="66">
        <f>SUM(M111:M127)</f>
        <v>306.57000000000005</v>
      </c>
    </row>
    <row r="129" spans="4:13" ht="15.75" thickBot="1" x14ac:dyDescent="0.3">
      <c r="D129"/>
      <c r="E129"/>
      <c r="F129"/>
      <c r="G129" s="63" t="s">
        <v>84</v>
      </c>
      <c r="H129"/>
      <c r="I129"/>
      <c r="J129"/>
      <c r="K129" s="63" t="s">
        <v>97</v>
      </c>
      <c r="L129" s="56"/>
      <c r="M129" s="68" t="s">
        <v>258</v>
      </c>
    </row>
    <row r="130" spans="4:13" x14ac:dyDescent="0.25">
      <c r="D130"/>
      <c r="E130"/>
      <c r="F130"/>
      <c r="G130"/>
      <c r="H130"/>
      <c r="I130"/>
      <c r="J130"/>
    </row>
  </sheetData>
  <mergeCells count="1">
    <mergeCell ref="K79:M79"/>
  </mergeCells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9"/>
  <sheetViews>
    <sheetView topLeftCell="A27" zoomScale="97" zoomScaleNormal="85" workbookViewId="0">
      <selection activeCell="G50" activeCellId="1" sqref="G53 G50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0" customWidth="1"/>
    <col min="8" max="8" width="10.85546875" style="70"/>
    <col min="9" max="10" width="10.85546875" style="20"/>
  </cols>
  <sheetData>
    <row r="1" spans="1:21" x14ac:dyDescent="0.25"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</row>
    <row r="2" spans="1:21" x14ac:dyDescent="0.25">
      <c r="C2" s="48" t="s">
        <v>248</v>
      </c>
      <c r="G2" s="79"/>
      <c r="H2" s="79"/>
    </row>
    <row r="3" spans="1:21" s="20" customFormat="1" x14ac:dyDescent="0.25">
      <c r="A3" s="37"/>
      <c r="B3" s="41" t="s">
        <v>35</v>
      </c>
      <c r="C3" s="39" t="s">
        <v>235</v>
      </c>
      <c r="D3" s="71">
        <f>G3+H3</f>
        <v>31.15</v>
      </c>
      <c r="E3" s="71">
        <f t="shared" ref="E3:E9" si="0">A3*D3</f>
        <v>0</v>
      </c>
      <c r="F3" s="72">
        <f>G3/50*A3</f>
        <v>0</v>
      </c>
      <c r="G3" s="80">
        <f>0.56*50</f>
        <v>28.000000000000004</v>
      </c>
      <c r="H3" s="80">
        <f>31.15-G3</f>
        <v>3.149999999999995</v>
      </c>
      <c r="K3"/>
      <c r="L3"/>
      <c r="M3"/>
      <c r="N3"/>
      <c r="O3"/>
      <c r="P3"/>
      <c r="Q3"/>
      <c r="R3"/>
      <c r="S3"/>
      <c r="T3"/>
      <c r="U3"/>
    </row>
    <row r="4" spans="1:21" s="20" customFormat="1" x14ac:dyDescent="0.25">
      <c r="A4" s="37"/>
      <c r="B4" s="41" t="s">
        <v>35</v>
      </c>
      <c r="C4" s="39" t="s">
        <v>236</v>
      </c>
      <c r="D4" s="71">
        <f t="shared" ref="D4:D8" si="1">G4+H4</f>
        <v>0</v>
      </c>
      <c r="E4" s="71">
        <f t="shared" si="0"/>
        <v>0</v>
      </c>
      <c r="F4" s="72">
        <f t="shared" ref="F4:F19" si="2">G4/50*A4</f>
        <v>0</v>
      </c>
      <c r="G4" s="80"/>
      <c r="H4" s="80"/>
      <c r="K4"/>
      <c r="L4"/>
      <c r="M4"/>
      <c r="N4"/>
      <c r="O4"/>
      <c r="P4"/>
      <c r="Q4"/>
      <c r="R4"/>
      <c r="S4"/>
      <c r="T4"/>
      <c r="U4"/>
    </row>
    <row r="5" spans="1:21" s="20" customFormat="1" x14ac:dyDescent="0.25">
      <c r="A5" s="37"/>
      <c r="B5" s="41" t="s">
        <v>35</v>
      </c>
      <c r="C5" s="39" t="s">
        <v>237</v>
      </c>
      <c r="D5" s="71">
        <f t="shared" si="1"/>
        <v>0</v>
      </c>
      <c r="E5" s="71">
        <f t="shared" si="0"/>
        <v>0</v>
      </c>
      <c r="F5" s="72">
        <f t="shared" si="2"/>
        <v>0</v>
      </c>
      <c r="G5" s="80"/>
      <c r="H5" s="80"/>
      <c r="K5"/>
      <c r="L5"/>
      <c r="M5"/>
      <c r="N5"/>
      <c r="O5"/>
      <c r="P5"/>
      <c r="Q5"/>
      <c r="R5"/>
      <c r="S5"/>
      <c r="T5"/>
      <c r="U5"/>
    </row>
    <row r="6" spans="1:21" s="20" customFormat="1" x14ac:dyDescent="0.25">
      <c r="A6" s="37"/>
      <c r="B6" s="41" t="s">
        <v>35</v>
      </c>
      <c r="C6" s="39" t="s">
        <v>238</v>
      </c>
      <c r="D6" s="71">
        <f t="shared" si="1"/>
        <v>0</v>
      </c>
      <c r="E6" s="71">
        <f t="shared" si="0"/>
        <v>0</v>
      </c>
      <c r="F6" s="72">
        <f t="shared" si="2"/>
        <v>0</v>
      </c>
      <c r="G6" s="80"/>
      <c r="H6" s="80"/>
      <c r="K6"/>
      <c r="L6"/>
      <c r="M6"/>
      <c r="N6"/>
      <c r="O6"/>
      <c r="P6"/>
      <c r="Q6"/>
      <c r="R6"/>
      <c r="S6"/>
      <c r="T6"/>
      <c r="U6"/>
    </row>
    <row r="7" spans="1:21" s="20" customFormat="1" x14ac:dyDescent="0.25">
      <c r="A7" s="37"/>
      <c r="B7" s="41" t="s">
        <v>35</v>
      </c>
      <c r="C7" s="39" t="s">
        <v>239</v>
      </c>
      <c r="D7" s="71">
        <f t="shared" si="1"/>
        <v>50.7624</v>
      </c>
      <c r="E7" s="71">
        <f t="shared" si="0"/>
        <v>0</v>
      </c>
      <c r="F7" s="72">
        <f t="shared" si="2"/>
        <v>0</v>
      </c>
      <c r="G7" s="80">
        <f>0.81*50</f>
        <v>40.5</v>
      </c>
      <c r="H7" s="80">
        <f>L76-G7</f>
        <v>10.2624</v>
      </c>
      <c r="K7"/>
      <c r="L7"/>
      <c r="M7"/>
      <c r="N7"/>
      <c r="O7"/>
      <c r="P7"/>
      <c r="Q7"/>
      <c r="R7"/>
      <c r="S7"/>
      <c r="T7"/>
      <c r="U7"/>
    </row>
    <row r="8" spans="1:21" s="20" customFormat="1" x14ac:dyDescent="0.25">
      <c r="A8" s="37"/>
      <c r="B8" s="41" t="s">
        <v>122</v>
      </c>
      <c r="C8" s="39" t="s">
        <v>209</v>
      </c>
      <c r="D8" s="71">
        <f t="shared" si="1"/>
        <v>0</v>
      </c>
      <c r="E8" s="71">
        <f t="shared" si="0"/>
        <v>0</v>
      </c>
      <c r="F8" s="72">
        <f t="shared" si="2"/>
        <v>0</v>
      </c>
      <c r="G8" s="80"/>
      <c r="H8" s="80"/>
      <c r="K8"/>
      <c r="L8"/>
      <c r="M8"/>
      <c r="N8"/>
      <c r="O8"/>
      <c r="P8"/>
      <c r="Q8"/>
      <c r="R8"/>
      <c r="S8"/>
      <c r="T8"/>
      <c r="U8"/>
    </row>
    <row r="9" spans="1:21" s="20" customFormat="1" x14ac:dyDescent="0.25">
      <c r="A9" s="37"/>
      <c r="B9" s="41"/>
      <c r="C9" s="39"/>
      <c r="D9" s="71"/>
      <c r="E9" s="71">
        <f t="shared" si="0"/>
        <v>0</v>
      </c>
      <c r="F9" s="72">
        <f t="shared" si="2"/>
        <v>0</v>
      </c>
      <c r="G9" s="80"/>
      <c r="H9" s="80"/>
      <c r="K9"/>
      <c r="L9"/>
      <c r="M9"/>
      <c r="N9"/>
      <c r="O9"/>
      <c r="P9"/>
      <c r="Q9"/>
      <c r="R9"/>
      <c r="S9"/>
      <c r="T9"/>
      <c r="U9"/>
    </row>
    <row r="10" spans="1:21" s="20" customFormat="1" x14ac:dyDescent="0.25">
      <c r="A10" s="37"/>
      <c r="B10" s="41" t="s">
        <v>77</v>
      </c>
      <c r="C10" s="39" t="s">
        <v>210</v>
      </c>
      <c r="D10" s="71">
        <f t="shared" ref="D10:D12" si="3">G10+H10</f>
        <v>649.6</v>
      </c>
      <c r="E10" s="71">
        <f t="shared" ref="E10:E12" si="4">A10*D10</f>
        <v>0</v>
      </c>
      <c r="F10" s="72">
        <f t="shared" si="2"/>
        <v>0</v>
      </c>
      <c r="G10" s="80"/>
      <c r="H10" s="80">
        <f>580*1.12</f>
        <v>649.6</v>
      </c>
      <c r="K10"/>
      <c r="L10"/>
      <c r="M10"/>
      <c r="N10"/>
      <c r="O10"/>
      <c r="P10"/>
      <c r="Q10"/>
      <c r="R10"/>
      <c r="S10"/>
      <c r="T10"/>
      <c r="U10"/>
    </row>
    <row r="11" spans="1:21" s="20" customFormat="1" x14ac:dyDescent="0.25">
      <c r="A11" s="37"/>
      <c r="B11" s="41" t="s">
        <v>77</v>
      </c>
      <c r="C11" s="39" t="s">
        <v>240</v>
      </c>
      <c r="D11" s="71">
        <f t="shared" si="3"/>
        <v>616.00000000000011</v>
      </c>
      <c r="E11" s="71">
        <f t="shared" si="4"/>
        <v>0</v>
      </c>
      <c r="F11" s="72">
        <f t="shared" si="2"/>
        <v>0</v>
      </c>
      <c r="G11" s="80"/>
      <c r="H11" s="80">
        <f>550*1.12</f>
        <v>616.00000000000011</v>
      </c>
      <c r="K11"/>
      <c r="L11"/>
      <c r="M11"/>
      <c r="N11"/>
      <c r="O11"/>
      <c r="P11"/>
      <c r="Q11"/>
      <c r="R11"/>
      <c r="S11"/>
      <c r="T11"/>
      <c r="U11"/>
    </row>
    <row r="12" spans="1:21" s="20" customFormat="1" x14ac:dyDescent="0.25">
      <c r="A12" s="37"/>
      <c r="B12" s="41" t="s">
        <v>150</v>
      </c>
      <c r="C12" s="36" t="s">
        <v>228</v>
      </c>
      <c r="D12" s="71">
        <f t="shared" si="3"/>
        <v>130</v>
      </c>
      <c r="E12" s="71">
        <f t="shared" si="4"/>
        <v>0</v>
      </c>
      <c r="F12" s="72">
        <f t="shared" si="2"/>
        <v>0</v>
      </c>
      <c r="G12" s="80">
        <f>1.25*50</f>
        <v>62.5</v>
      </c>
      <c r="H12" s="80">
        <f>130-G12</f>
        <v>67.5</v>
      </c>
      <c r="K12"/>
      <c r="L12"/>
      <c r="M12"/>
      <c r="N12"/>
      <c r="O12"/>
      <c r="P12"/>
      <c r="Q12"/>
      <c r="R12"/>
      <c r="S12"/>
      <c r="T12"/>
      <c r="U12"/>
    </row>
    <row r="13" spans="1:21" s="20" customFormat="1" x14ac:dyDescent="0.25">
      <c r="A13" s="37"/>
      <c r="B13"/>
      <c r="C13"/>
      <c r="D13" s="71">
        <f t="shared" ref="D13:D19" si="5">G13+H13</f>
        <v>0</v>
      </c>
      <c r="E13" s="71">
        <f t="shared" ref="E13:E19" si="6">A13*D13</f>
        <v>0</v>
      </c>
      <c r="F13" s="72">
        <f t="shared" si="2"/>
        <v>0</v>
      </c>
      <c r="G13" s="80"/>
      <c r="H13" s="80"/>
      <c r="K13"/>
      <c r="L13"/>
      <c r="M13"/>
      <c r="N13"/>
      <c r="O13"/>
      <c r="P13"/>
      <c r="Q13"/>
      <c r="R13"/>
      <c r="S13"/>
      <c r="T13"/>
      <c r="U13"/>
    </row>
    <row r="14" spans="1:21" s="20" customFormat="1" x14ac:dyDescent="0.25">
      <c r="A14" s="39"/>
      <c r="B14" s="41" t="s">
        <v>77</v>
      </c>
      <c r="C14" s="36" t="s">
        <v>249</v>
      </c>
      <c r="D14" s="71">
        <f t="shared" si="5"/>
        <v>0</v>
      </c>
      <c r="E14" s="71">
        <f t="shared" si="6"/>
        <v>0</v>
      </c>
      <c r="F14" s="72">
        <f t="shared" si="2"/>
        <v>0</v>
      </c>
      <c r="G14" s="79"/>
      <c r="H14" s="80"/>
      <c r="K14"/>
      <c r="L14"/>
      <c r="M14"/>
      <c r="N14"/>
      <c r="O14"/>
      <c r="P14"/>
      <c r="Q14"/>
      <c r="R14"/>
      <c r="S14"/>
      <c r="T14"/>
      <c r="U14"/>
    </row>
    <row r="15" spans="1:21" s="20" customFormat="1" x14ac:dyDescent="0.25">
      <c r="A15" s="39"/>
      <c r="B15" s="41" t="s">
        <v>77</v>
      </c>
      <c r="C15" s="36" t="s">
        <v>250</v>
      </c>
      <c r="D15" s="71">
        <f t="shared" si="5"/>
        <v>0</v>
      </c>
      <c r="E15" s="71">
        <f t="shared" si="6"/>
        <v>0</v>
      </c>
      <c r="F15" s="72">
        <f t="shared" si="2"/>
        <v>0</v>
      </c>
      <c r="G15" s="80"/>
      <c r="H15" s="80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B16" s="41"/>
      <c r="D16" s="71">
        <f t="shared" si="5"/>
        <v>0</v>
      </c>
      <c r="E16" s="71">
        <f t="shared" si="6"/>
        <v>0</v>
      </c>
      <c r="F16" s="72">
        <f t="shared" si="2"/>
        <v>0</v>
      </c>
      <c r="G16" s="80"/>
      <c r="H16" s="80"/>
    </row>
    <row r="17" spans="2:13" x14ac:dyDescent="0.25">
      <c r="B17" s="46" t="s">
        <v>150</v>
      </c>
      <c r="C17" s="36" t="s">
        <v>161</v>
      </c>
      <c r="D17" s="71">
        <f t="shared" si="5"/>
        <v>146.51904000000002</v>
      </c>
      <c r="E17" s="71">
        <f t="shared" si="6"/>
        <v>0</v>
      </c>
      <c r="F17" s="72">
        <f t="shared" si="2"/>
        <v>0</v>
      </c>
      <c r="G17" s="80">
        <f>1.5*50</f>
        <v>75</v>
      </c>
      <c r="H17" s="80">
        <f>0.16*0.16*4*H10+5</f>
        <v>71.519040000000004</v>
      </c>
    </row>
    <row r="18" spans="2:13" x14ac:dyDescent="0.25">
      <c r="B18" s="46" t="s">
        <v>150</v>
      </c>
      <c r="C18" s="36" t="s">
        <v>269</v>
      </c>
      <c r="D18" s="71">
        <f t="shared" ref="D18" si="7">G18+H18</f>
        <v>188.07840000000002</v>
      </c>
      <c r="E18" s="71">
        <f t="shared" ref="E18" si="8">A18*D18</f>
        <v>0</v>
      </c>
      <c r="F18" s="72">
        <f t="shared" si="2"/>
        <v>0</v>
      </c>
      <c r="G18" s="80">
        <f>1.5*50</f>
        <v>75</v>
      </c>
      <c r="H18" s="80">
        <f>0.16*0.16*4*H11+5+45</f>
        <v>113.07840000000002</v>
      </c>
    </row>
    <row r="19" spans="2:13" x14ac:dyDescent="0.25">
      <c r="B19" s="46" t="s">
        <v>150</v>
      </c>
      <c r="C19" s="36" t="s">
        <v>162</v>
      </c>
      <c r="D19" s="71">
        <f t="shared" si="5"/>
        <v>0</v>
      </c>
      <c r="E19" s="71">
        <f t="shared" si="6"/>
        <v>0</v>
      </c>
      <c r="F19" s="72">
        <f t="shared" si="2"/>
        <v>0</v>
      </c>
      <c r="G19" s="80"/>
      <c r="H19" s="80"/>
    </row>
    <row r="20" spans="2:13" ht="15.75" x14ac:dyDescent="0.3">
      <c r="B20" s="49"/>
      <c r="C20" s="39"/>
      <c r="D20" s="71"/>
      <c r="E20" s="71"/>
      <c r="F20" s="72"/>
      <c r="G20" s="71"/>
      <c r="H20" s="71"/>
    </row>
    <row r="21" spans="2:13" x14ac:dyDescent="0.25">
      <c r="B21" s="46"/>
      <c r="C21" s="36"/>
      <c r="G21" s="71"/>
      <c r="H21" s="71"/>
    </row>
    <row r="22" spans="2:13" x14ac:dyDescent="0.25">
      <c r="B22" s="46"/>
      <c r="C22" s="36"/>
      <c r="G22" s="71"/>
      <c r="H22" s="71"/>
    </row>
    <row r="23" spans="2:13" x14ac:dyDescent="0.25">
      <c r="B23" s="46"/>
      <c r="C23" s="36"/>
      <c r="G23" s="71"/>
      <c r="H23" s="71"/>
    </row>
    <row r="24" spans="2:13" x14ac:dyDescent="0.25">
      <c r="B24" s="18" t="s">
        <v>70</v>
      </c>
      <c r="D24"/>
      <c r="E24"/>
      <c r="F24"/>
      <c r="G24"/>
      <c r="H24"/>
      <c r="I24"/>
      <c r="J24"/>
      <c r="M24" s="19"/>
    </row>
    <row r="25" spans="2:13" x14ac:dyDescent="0.25">
      <c r="D25" s="56" t="s">
        <v>136</v>
      </c>
      <c r="E25" s="56"/>
      <c r="F25" s="56"/>
      <c r="G25" s="57" t="s">
        <v>252</v>
      </c>
      <c r="H25" s="56"/>
      <c r="I25" s="56"/>
      <c r="J25" s="56"/>
      <c r="K25" s="56" t="s">
        <v>82</v>
      </c>
      <c r="L25" s="56"/>
      <c r="M25" s="58" t="s">
        <v>253</v>
      </c>
    </row>
    <row r="26" spans="2:13" x14ac:dyDescent="0.25">
      <c r="B26" t="s">
        <v>76</v>
      </c>
      <c r="D26"/>
      <c r="E26">
        <v>1</v>
      </c>
      <c r="F26" t="s">
        <v>77</v>
      </c>
      <c r="G26"/>
      <c r="H26"/>
      <c r="I26"/>
      <c r="J26"/>
      <c r="M26" s="19"/>
    </row>
    <row r="27" spans="2:13" x14ac:dyDescent="0.25">
      <c r="C27" t="s">
        <v>78</v>
      </c>
      <c r="D27">
        <v>60</v>
      </c>
      <c r="E27">
        <v>4.3</v>
      </c>
      <c r="F27" t="s">
        <v>79</v>
      </c>
      <c r="G27">
        <f>E27*E26</f>
        <v>4.3</v>
      </c>
      <c r="H27">
        <f>(E26*E27*D27)/E26</f>
        <v>258</v>
      </c>
      <c r="I27" t="s">
        <v>143</v>
      </c>
      <c r="J27"/>
      <c r="K27">
        <f>H27*E40</f>
        <v>10.836</v>
      </c>
      <c r="L27" t="s">
        <v>143</v>
      </c>
      <c r="M27" s="19"/>
    </row>
    <row r="28" spans="2:13" x14ac:dyDescent="0.25">
      <c r="C28" t="s">
        <v>80</v>
      </c>
      <c r="D28"/>
      <c r="E28">
        <v>25</v>
      </c>
      <c r="F28" t="s">
        <v>81</v>
      </c>
      <c r="G28"/>
      <c r="H28">
        <f>(E26*E28)/E26</f>
        <v>25</v>
      </c>
      <c r="I28" t="s">
        <v>144</v>
      </c>
      <c r="J28"/>
      <c r="K28">
        <f>H28*E40</f>
        <v>1.05</v>
      </c>
      <c r="L28" t="s">
        <v>144</v>
      </c>
    </row>
    <row r="29" spans="2:13" x14ac:dyDescent="0.25">
      <c r="D29"/>
      <c r="E29"/>
      <c r="F29" t="s">
        <v>82</v>
      </c>
      <c r="G29">
        <f>E27*E40</f>
        <v>0.18060000000000001</v>
      </c>
      <c r="H29"/>
      <c r="I29">
        <f>SUM(H27:H28)</f>
        <v>283</v>
      </c>
      <c r="J29" t="s">
        <v>81</v>
      </c>
      <c r="K29" s="20">
        <f>I29*E40</f>
        <v>11.886000000000001</v>
      </c>
      <c r="L29" t="s">
        <v>42</v>
      </c>
      <c r="M29" s="19">
        <f>I29*E26</f>
        <v>283</v>
      </c>
    </row>
    <row r="30" spans="2:13" x14ac:dyDescent="0.25">
      <c r="D30"/>
      <c r="E30"/>
      <c r="F30"/>
      <c r="G30"/>
      <c r="H30"/>
      <c r="I30"/>
      <c r="J30"/>
    </row>
    <row r="31" spans="2:13" x14ac:dyDescent="0.25">
      <c r="B31" t="s">
        <v>33</v>
      </c>
      <c r="D31"/>
      <c r="E31">
        <v>1</v>
      </c>
      <c r="F31" t="s">
        <v>35</v>
      </c>
      <c r="G31"/>
      <c r="H31"/>
      <c r="I31"/>
      <c r="J31"/>
      <c r="M31" s="19"/>
    </row>
    <row r="32" spans="2:13" x14ac:dyDescent="0.25">
      <c r="C32" t="s">
        <v>444</v>
      </c>
      <c r="D32">
        <v>55</v>
      </c>
      <c r="E32">
        <f>0.11+0.13</f>
        <v>0.24</v>
      </c>
      <c r="F32" t="s">
        <v>84</v>
      </c>
      <c r="G32">
        <f>E31*E32</f>
        <v>0.24</v>
      </c>
      <c r="H32">
        <f>E31*E32*D32</f>
        <v>13.2</v>
      </c>
      <c r="I32"/>
      <c r="J32"/>
      <c r="M32" s="19"/>
    </row>
    <row r="33" spans="2:21" x14ac:dyDescent="0.25">
      <c r="C33" s="131" t="s">
        <v>445</v>
      </c>
      <c r="D33" s="131">
        <v>50</v>
      </c>
      <c r="E33" s="131">
        <v>0.11</v>
      </c>
      <c r="F33" s="131" t="s">
        <v>84</v>
      </c>
      <c r="G33" s="131">
        <f>E32*E33</f>
        <v>2.64E-2</v>
      </c>
      <c r="H33" s="131">
        <f>E32*E33*D33</f>
        <v>1.32</v>
      </c>
      <c r="I33"/>
      <c r="J33"/>
      <c r="M33" s="19"/>
    </row>
    <row r="34" spans="2:21" x14ac:dyDescent="0.25">
      <c r="C34" t="s">
        <v>259</v>
      </c>
      <c r="D34"/>
      <c r="E34">
        <v>0.08</v>
      </c>
      <c r="F34" t="s">
        <v>82</v>
      </c>
      <c r="G34">
        <f>E34*E31</f>
        <v>0.08</v>
      </c>
      <c r="H34">
        <f>E34*D32*E31</f>
        <v>4.4000000000000004</v>
      </c>
      <c r="I34"/>
      <c r="J34"/>
      <c r="K34">
        <f>SUM(H32+H34)/E31</f>
        <v>17.600000000000001</v>
      </c>
      <c r="L34" t="s">
        <v>143</v>
      </c>
      <c r="M34" s="19"/>
    </row>
    <row r="35" spans="2:21" x14ac:dyDescent="0.25">
      <c r="C35" t="s">
        <v>85</v>
      </c>
      <c r="D35"/>
      <c r="E35">
        <v>1.6</v>
      </c>
      <c r="F35" t="s">
        <v>82</v>
      </c>
      <c r="G35"/>
      <c r="H35">
        <f>E35*E31</f>
        <v>1.6</v>
      </c>
      <c r="I35"/>
      <c r="J35"/>
      <c r="K35">
        <f>H35</f>
        <v>1.6</v>
      </c>
      <c r="L35" t="s">
        <v>144</v>
      </c>
      <c r="M35" s="19">
        <f>E40*E31</f>
        <v>4.2000000000000003E-2</v>
      </c>
    </row>
    <row r="36" spans="2:21" ht="15.75" thickBot="1" x14ac:dyDescent="0.3">
      <c r="I36"/>
      <c r="J36"/>
      <c r="K36">
        <f>K34+K35</f>
        <v>19.200000000000003</v>
      </c>
      <c r="L36" t="s">
        <v>42</v>
      </c>
      <c r="M36" s="19"/>
    </row>
    <row r="37" spans="2:21" ht="15.75" thickBot="1" x14ac:dyDescent="0.3">
      <c r="D37"/>
      <c r="E37"/>
      <c r="F37"/>
      <c r="G37"/>
      <c r="H37"/>
      <c r="I37"/>
      <c r="J37"/>
      <c r="L37" s="59">
        <f>K29+K36</f>
        <v>31.086000000000006</v>
      </c>
      <c r="M37" s="19"/>
    </row>
    <row r="38" spans="2:21" x14ac:dyDescent="0.25">
      <c r="B38" t="s">
        <v>86</v>
      </c>
      <c r="D38"/>
      <c r="E38">
        <f>E26</f>
        <v>1</v>
      </c>
      <c r="F38" t="s">
        <v>77</v>
      </c>
      <c r="G38"/>
      <c r="H38"/>
      <c r="I38"/>
      <c r="J38"/>
      <c r="M38" s="19"/>
    </row>
    <row r="39" spans="2:21" x14ac:dyDescent="0.25">
      <c r="C39" t="s">
        <v>87</v>
      </c>
      <c r="D39"/>
      <c r="E39">
        <f>580*1.12</f>
        <v>649.6</v>
      </c>
      <c r="F39" t="s">
        <v>81</v>
      </c>
      <c r="G39"/>
      <c r="H39">
        <f>E38*E39</f>
        <v>649.6</v>
      </c>
      <c r="I39"/>
      <c r="J39"/>
      <c r="M39" s="19"/>
    </row>
    <row r="40" spans="2:21" ht="15.75" x14ac:dyDescent="0.3">
      <c r="D40"/>
      <c r="E40" s="21">
        <v>4.2000000000000003E-2</v>
      </c>
      <c r="F40" t="s">
        <v>88</v>
      </c>
      <c r="G40"/>
      <c r="H40"/>
      <c r="I40"/>
      <c r="J40"/>
      <c r="M40" s="19"/>
      <c r="N40" s="69"/>
      <c r="O40" s="69"/>
      <c r="P40" s="1"/>
      <c r="Q40" s="1"/>
      <c r="R40" s="7"/>
      <c r="S40" s="35"/>
      <c r="T40" s="15"/>
      <c r="U40" s="1"/>
    </row>
    <row r="41" spans="2:21" ht="16.5" thickBot="1" x14ac:dyDescent="0.35">
      <c r="D41"/>
      <c r="E41"/>
      <c r="F41"/>
      <c r="G41"/>
      <c r="H41"/>
      <c r="I41"/>
      <c r="J41"/>
      <c r="K41" s="20">
        <f>E31*E39*E40</f>
        <v>27.283200000000004</v>
      </c>
      <c r="M41" s="19">
        <f>E39*E38</f>
        <v>649.6</v>
      </c>
      <c r="N41" s="8"/>
      <c r="O41" s="8"/>
      <c r="P41" s="1"/>
      <c r="Q41" s="1"/>
      <c r="R41" s="1"/>
      <c r="S41" s="15"/>
      <c r="T41" s="1"/>
      <c r="U41" s="1"/>
    </row>
    <row r="42" spans="2:21" ht="15.75" x14ac:dyDescent="0.3">
      <c r="B42" s="22"/>
      <c r="C42" s="23"/>
      <c r="D42" s="23"/>
      <c r="E42" s="23"/>
      <c r="F42" s="23"/>
      <c r="G42" s="62">
        <f>SUM(G29:G40)-G33</f>
        <v>0.50059999999999993</v>
      </c>
      <c r="H42" s="23"/>
      <c r="I42" s="23"/>
      <c r="J42" s="23"/>
      <c r="K42" s="65">
        <f>K29+K36+K41</f>
        <v>58.369200000000006</v>
      </c>
      <c r="L42" s="23"/>
      <c r="M42" s="67">
        <f>SUM(M29:M41)</f>
        <v>932.64200000000005</v>
      </c>
      <c r="N42" s="1"/>
      <c r="O42" s="1"/>
      <c r="P42" s="1"/>
      <c r="Q42" s="1"/>
      <c r="R42" s="1"/>
      <c r="S42" s="1"/>
      <c r="T42" s="1"/>
      <c r="U42" s="1"/>
    </row>
    <row r="43" spans="2:21" ht="16.5" thickBot="1" x14ac:dyDescent="0.35">
      <c r="D43"/>
      <c r="E43"/>
      <c r="F43"/>
      <c r="G43" s="63" t="s">
        <v>84</v>
      </c>
      <c r="H43"/>
      <c r="I43"/>
      <c r="J43"/>
      <c r="K43" s="63" t="s">
        <v>97</v>
      </c>
      <c r="L43" s="56"/>
      <c r="M43" s="68" t="s">
        <v>258</v>
      </c>
      <c r="N43" s="1"/>
      <c r="O43" s="1"/>
      <c r="P43" s="1"/>
      <c r="Q43" s="1"/>
      <c r="R43" s="1"/>
      <c r="S43" s="1"/>
      <c r="T43" s="1"/>
      <c r="U43" s="1"/>
    </row>
    <row r="44" spans="2:21" ht="15.75" x14ac:dyDescent="0.3">
      <c r="D44"/>
      <c r="E44"/>
      <c r="F44"/>
      <c r="G44"/>
      <c r="H44"/>
      <c r="I44"/>
      <c r="J44"/>
      <c r="M44" s="19"/>
      <c r="N44" s="1"/>
      <c r="O44" s="1"/>
      <c r="P44" s="1"/>
      <c r="Q44" s="1"/>
      <c r="R44" s="1"/>
      <c r="S44" s="1"/>
      <c r="T44" s="1"/>
      <c r="U44" s="1"/>
    </row>
    <row r="45" spans="2:21" ht="15.75" x14ac:dyDescent="0.3">
      <c r="B45" s="18" t="s">
        <v>89</v>
      </c>
      <c r="D45"/>
      <c r="E45"/>
      <c r="F45"/>
      <c r="G45"/>
      <c r="H45"/>
      <c r="I45"/>
      <c r="J45"/>
      <c r="M45" s="19"/>
      <c r="N45" s="1"/>
      <c r="O45" s="1"/>
      <c r="P45" s="1"/>
      <c r="Q45" s="1"/>
      <c r="R45" s="1"/>
      <c r="S45" s="1"/>
      <c r="T45" s="1"/>
      <c r="U45" s="1"/>
    </row>
    <row r="46" spans="2:21" ht="15.75" x14ac:dyDescent="0.3">
      <c r="D46" s="48" t="s">
        <v>136</v>
      </c>
      <c r="E46" s="48"/>
      <c r="F46" s="48"/>
      <c r="G46" s="18" t="s">
        <v>72</v>
      </c>
      <c r="H46" s="48" t="s">
        <v>73</v>
      </c>
      <c r="I46" s="48"/>
      <c r="J46" s="48"/>
      <c r="K46" s="60" t="s">
        <v>82</v>
      </c>
      <c r="L46" s="60"/>
      <c r="M46" s="61" t="s">
        <v>253</v>
      </c>
      <c r="N46" s="1"/>
      <c r="O46" s="1"/>
      <c r="P46" s="1"/>
      <c r="Q46" s="1"/>
      <c r="R46" s="1"/>
      <c r="S46" s="1"/>
      <c r="T46" s="1"/>
      <c r="U46" s="1"/>
    </row>
    <row r="47" spans="2:21" ht="15.75" x14ac:dyDescent="0.3">
      <c r="B47" t="s">
        <v>76</v>
      </c>
      <c r="D47"/>
      <c r="E47">
        <v>1</v>
      </c>
      <c r="F47" t="s">
        <v>77</v>
      </c>
      <c r="G47"/>
      <c r="H47"/>
      <c r="I47"/>
      <c r="J47"/>
      <c r="M47" s="19"/>
      <c r="N47" s="1"/>
      <c r="O47" s="1"/>
      <c r="P47" s="1"/>
      <c r="Q47" s="1"/>
      <c r="R47" s="1"/>
      <c r="S47" s="1"/>
      <c r="T47" s="1"/>
      <c r="U47" s="1"/>
    </row>
    <row r="48" spans="2:21" ht="15.75" x14ac:dyDescent="0.3">
      <c r="C48" t="s">
        <v>78</v>
      </c>
      <c r="D48">
        <v>55</v>
      </c>
      <c r="E48">
        <v>5.5</v>
      </c>
      <c r="F48" t="s">
        <v>79</v>
      </c>
      <c r="G48">
        <f>E48*E47</f>
        <v>5.5</v>
      </c>
      <c r="H48">
        <f>E47*E48*D48</f>
        <v>302.5</v>
      </c>
      <c r="I48"/>
      <c r="J48"/>
      <c r="M48" s="19"/>
      <c r="N48" s="1"/>
      <c r="O48" s="1"/>
      <c r="P48" s="1"/>
      <c r="Q48" s="1"/>
      <c r="R48" s="1"/>
      <c r="S48" s="1"/>
      <c r="T48" s="1"/>
      <c r="U48" s="1"/>
    </row>
    <row r="49" spans="1:16" x14ac:dyDescent="0.25">
      <c r="C49" t="s">
        <v>80</v>
      </c>
      <c r="D49"/>
      <c r="E49">
        <v>23</v>
      </c>
      <c r="F49" t="s">
        <v>81</v>
      </c>
      <c r="G49"/>
      <c r="H49">
        <v>25</v>
      </c>
      <c r="I49"/>
      <c r="J49"/>
      <c r="M49" s="19"/>
    </row>
    <row r="50" spans="1:16" x14ac:dyDescent="0.25">
      <c r="D50"/>
      <c r="E50"/>
      <c r="F50" t="s">
        <v>82</v>
      </c>
      <c r="G50">
        <f>E48*E61</f>
        <v>0.40149999999999997</v>
      </c>
      <c r="H50"/>
      <c r="I50">
        <f>H48+H49</f>
        <v>327.5</v>
      </c>
      <c r="J50" t="s">
        <v>81</v>
      </c>
      <c r="K50" s="20">
        <f>I50*E61</f>
        <v>23.907499999999999</v>
      </c>
      <c r="M50" s="19">
        <f>I50*E47</f>
        <v>327.5</v>
      </c>
    </row>
    <row r="51" spans="1:16" x14ac:dyDescent="0.25">
      <c r="D51"/>
      <c r="E51"/>
      <c r="F51"/>
      <c r="G51"/>
      <c r="H51"/>
      <c r="I51"/>
      <c r="J51"/>
      <c r="K51" s="20"/>
      <c r="M51" s="19"/>
    </row>
    <row r="52" spans="1:16" x14ac:dyDescent="0.25">
      <c r="B52" t="s">
        <v>33</v>
      </c>
      <c r="D52"/>
      <c r="E52">
        <v>1</v>
      </c>
      <c r="F52" t="s">
        <v>35</v>
      </c>
      <c r="G52"/>
      <c r="H52"/>
      <c r="I52"/>
      <c r="J52"/>
      <c r="M52" s="19"/>
    </row>
    <row r="53" spans="1:16" x14ac:dyDescent="0.25">
      <c r="C53" t="s">
        <v>78</v>
      </c>
      <c r="D53">
        <v>55</v>
      </c>
      <c r="E53">
        <v>0.2</v>
      </c>
      <c r="F53" t="s">
        <v>84</v>
      </c>
      <c r="G53">
        <v>0.2</v>
      </c>
      <c r="H53">
        <f>E52*E53*D53</f>
        <v>11</v>
      </c>
      <c r="I53"/>
      <c r="J53"/>
      <c r="M53" s="19"/>
      <c r="P53">
        <f>(0.26+0.15)*55+0.319*65</f>
        <v>43.284999999999997</v>
      </c>
    </row>
    <row r="54" spans="1:16" x14ac:dyDescent="0.25">
      <c r="C54" t="s">
        <v>85</v>
      </c>
      <c r="D54"/>
      <c r="E54">
        <v>2</v>
      </c>
      <c r="F54" t="s">
        <v>82</v>
      </c>
      <c r="G54"/>
      <c r="H54">
        <f>E54*E52</f>
        <v>2</v>
      </c>
      <c r="I54"/>
      <c r="J54"/>
      <c r="M54" s="19"/>
      <c r="P54" s="20">
        <f>L58-P53</f>
        <v>-3.6274999999999977</v>
      </c>
    </row>
    <row r="55" spans="1:16" x14ac:dyDescent="0.25">
      <c r="C55" t="s">
        <v>259</v>
      </c>
      <c r="D55"/>
      <c r="E55">
        <v>0.05</v>
      </c>
      <c r="F55" t="s">
        <v>82</v>
      </c>
      <c r="G55">
        <v>0</v>
      </c>
      <c r="H55">
        <f>E55*D53*E52</f>
        <v>2.75</v>
      </c>
      <c r="I55"/>
      <c r="J55"/>
      <c r="M55" s="19"/>
    </row>
    <row r="56" spans="1:16" x14ac:dyDescent="0.25">
      <c r="D56"/>
      <c r="E56"/>
      <c r="F56"/>
      <c r="G56"/>
      <c r="H56"/>
      <c r="I56"/>
      <c r="J56"/>
      <c r="M56" s="19"/>
    </row>
    <row r="57" spans="1:16" ht="15.75" thickBot="1" x14ac:dyDescent="0.3">
      <c r="C57" t="s">
        <v>254</v>
      </c>
      <c r="D57"/>
      <c r="E57"/>
      <c r="F57"/>
      <c r="G57"/>
      <c r="H57"/>
      <c r="I57"/>
      <c r="J57"/>
      <c r="K57">
        <f>SUM(H53:H56)/E52</f>
        <v>15.75</v>
      </c>
      <c r="M57" s="19">
        <f>E47*K57*E61</f>
        <v>1.1497499999999998</v>
      </c>
    </row>
    <row r="58" spans="1:16" ht="15.75" thickBot="1" x14ac:dyDescent="0.3">
      <c r="D58"/>
      <c r="E58"/>
      <c r="F58"/>
      <c r="G58"/>
      <c r="H58"/>
      <c r="I58"/>
      <c r="J58"/>
      <c r="L58" s="59">
        <f>K50+K57</f>
        <v>39.657499999999999</v>
      </c>
      <c r="M58" s="19"/>
    </row>
    <row r="59" spans="1:16" ht="15.75" x14ac:dyDescent="0.3">
      <c r="A59" s="1"/>
      <c r="B59" t="s">
        <v>86</v>
      </c>
      <c r="D59"/>
      <c r="E59">
        <f>E47</f>
        <v>1</v>
      </c>
      <c r="F59" t="s">
        <v>77</v>
      </c>
      <c r="G59"/>
      <c r="H59"/>
      <c r="I59"/>
      <c r="J59"/>
      <c r="M59" s="19"/>
    </row>
    <row r="60" spans="1:16" ht="15.75" x14ac:dyDescent="0.3">
      <c r="A60" s="1"/>
      <c r="C60" t="s">
        <v>87</v>
      </c>
      <c r="D60"/>
      <c r="E60">
        <f>580*1.12</f>
        <v>649.6</v>
      </c>
      <c r="F60" t="s">
        <v>81</v>
      </c>
      <c r="G60"/>
      <c r="H60">
        <f>E59*E60</f>
        <v>649.6</v>
      </c>
      <c r="I60"/>
      <c r="J60"/>
      <c r="L60" s="55"/>
      <c r="M60" s="19"/>
    </row>
    <row r="61" spans="1:16" ht="15.75" x14ac:dyDescent="0.3">
      <c r="A61" s="1"/>
      <c r="D61"/>
      <c r="E61" s="21">
        <v>7.2999999999999995E-2</v>
      </c>
      <c r="F61" t="s">
        <v>88</v>
      </c>
      <c r="G61"/>
      <c r="H61"/>
      <c r="I61"/>
      <c r="J61"/>
      <c r="M61" s="19"/>
    </row>
    <row r="62" spans="1:16" ht="16.5" thickBot="1" x14ac:dyDescent="0.35">
      <c r="A62" s="1"/>
      <c r="D62"/>
      <c r="E62"/>
      <c r="F62"/>
      <c r="G62"/>
      <c r="H62"/>
      <c r="I62"/>
      <c r="J62"/>
      <c r="K62" s="20">
        <f>E59*E61*E60</f>
        <v>47.4208</v>
      </c>
      <c r="M62" s="19">
        <f>H60*E59</f>
        <v>649.6</v>
      </c>
    </row>
    <row r="63" spans="1:16" ht="15.75" x14ac:dyDescent="0.3">
      <c r="A63" s="1"/>
      <c r="B63" s="22"/>
      <c r="C63" s="23"/>
      <c r="D63" s="23"/>
      <c r="E63" s="23"/>
      <c r="F63" s="23"/>
      <c r="G63" s="62">
        <f>SUM(G50:G61)</f>
        <v>0.60149999999999992</v>
      </c>
      <c r="H63" s="23">
        <f>SUM(H48:H61)</f>
        <v>992.85</v>
      </c>
      <c r="I63" s="23"/>
      <c r="J63" s="23"/>
      <c r="K63" s="66">
        <f>SUM(K50:K62)</f>
        <v>87.078299999999999</v>
      </c>
      <c r="L63" s="25"/>
      <c r="M63" s="66">
        <f>SUM(M50:M62)</f>
        <v>978.24974999999995</v>
      </c>
    </row>
    <row r="64" spans="1:16" ht="16.5" thickBot="1" x14ac:dyDescent="0.35">
      <c r="A64" s="1"/>
      <c r="D64"/>
      <c r="E64"/>
      <c r="F64"/>
      <c r="G64" s="63" t="s">
        <v>84</v>
      </c>
      <c r="H64"/>
      <c r="I64"/>
      <c r="J64"/>
      <c r="K64" s="63" t="s">
        <v>97</v>
      </c>
      <c r="L64" s="56"/>
      <c r="M64" s="68" t="s">
        <v>258</v>
      </c>
    </row>
    <row r="65" spans="1:13" ht="15.75" x14ac:dyDescent="0.3">
      <c r="A65" s="1"/>
      <c r="D65"/>
      <c r="E65"/>
      <c r="F65"/>
      <c r="G65"/>
      <c r="H65"/>
      <c r="I65"/>
      <c r="J65"/>
      <c r="M65" s="19"/>
    </row>
    <row r="66" spans="1:13" ht="15.75" x14ac:dyDescent="0.3">
      <c r="A66" s="1"/>
      <c r="B66" s="18" t="s">
        <v>90</v>
      </c>
      <c r="D66"/>
      <c r="E66"/>
      <c r="F66"/>
      <c r="G66"/>
      <c r="H66"/>
      <c r="I66"/>
      <c r="J66"/>
      <c r="M66" s="19"/>
    </row>
    <row r="67" spans="1:13" ht="15.75" x14ac:dyDescent="0.3">
      <c r="A67" s="1"/>
      <c r="D67" t="s">
        <v>71</v>
      </c>
      <c r="E67"/>
      <c r="F67"/>
      <c r="G67" s="18" t="s">
        <v>72</v>
      </c>
      <c r="H67" t="s">
        <v>73</v>
      </c>
      <c r="I67"/>
      <c r="J67"/>
      <c r="K67" s="56" t="s">
        <v>82</v>
      </c>
      <c r="L67" s="56"/>
      <c r="M67" s="58" t="s">
        <v>253</v>
      </c>
    </row>
    <row r="68" spans="1:13" ht="15.75" x14ac:dyDescent="0.3">
      <c r="A68" s="1"/>
      <c r="B68" t="s">
        <v>76</v>
      </c>
      <c r="D68"/>
      <c r="E68">
        <v>1</v>
      </c>
      <c r="F68" t="s">
        <v>77</v>
      </c>
      <c r="G68"/>
      <c r="H68"/>
      <c r="I68"/>
      <c r="J68"/>
      <c r="M68" s="19"/>
    </row>
    <row r="69" spans="1:13" x14ac:dyDescent="0.25">
      <c r="C69" t="s">
        <v>78</v>
      </c>
      <c r="D69">
        <v>50</v>
      </c>
      <c r="E69">
        <v>6.5</v>
      </c>
      <c r="F69" t="s">
        <v>79</v>
      </c>
      <c r="G69" s="20">
        <f>E69*E68</f>
        <v>6.5</v>
      </c>
      <c r="H69">
        <f>E68*E69*D69</f>
        <v>325</v>
      </c>
      <c r="I69"/>
      <c r="J69"/>
      <c r="M69" s="19"/>
    </row>
    <row r="70" spans="1:13" x14ac:dyDescent="0.25">
      <c r="C70" t="s">
        <v>80</v>
      </c>
      <c r="D70"/>
      <c r="E70">
        <v>23</v>
      </c>
      <c r="F70" t="s">
        <v>81</v>
      </c>
      <c r="G70"/>
      <c r="H70">
        <f>E68*E70</f>
        <v>23</v>
      </c>
      <c r="I70"/>
      <c r="J70"/>
      <c r="M70" s="19"/>
    </row>
    <row r="71" spans="1:13" x14ac:dyDescent="0.25">
      <c r="D71"/>
      <c r="E71"/>
      <c r="F71" t="s">
        <v>82</v>
      </c>
      <c r="G71">
        <f>E69*E79</f>
        <v>0.54469999999999996</v>
      </c>
      <c r="H71"/>
      <c r="I71">
        <f>SUM(H69:H70)/E68</f>
        <v>348</v>
      </c>
      <c r="J71" t="s">
        <v>81</v>
      </c>
      <c r="K71" s="20">
        <f>I71*E79</f>
        <v>29.162399999999998</v>
      </c>
      <c r="M71" s="19">
        <f>I71*E68</f>
        <v>348</v>
      </c>
    </row>
    <row r="72" spans="1:13" x14ac:dyDescent="0.25">
      <c r="B72" t="s">
        <v>33</v>
      </c>
      <c r="D72"/>
      <c r="E72">
        <v>1</v>
      </c>
      <c r="F72" t="s">
        <v>35</v>
      </c>
      <c r="G72"/>
      <c r="H72"/>
      <c r="I72"/>
      <c r="J72"/>
      <c r="M72" s="19"/>
    </row>
    <row r="73" spans="1:13" x14ac:dyDescent="0.25">
      <c r="C73" t="s">
        <v>444</v>
      </c>
      <c r="D73">
        <v>50</v>
      </c>
      <c r="E73">
        <f>0.11+0.24+0.05</f>
        <v>0.39999999999999997</v>
      </c>
      <c r="F73" t="s">
        <v>84</v>
      </c>
      <c r="G73">
        <f>E72*E73</f>
        <v>0.39999999999999997</v>
      </c>
      <c r="H73">
        <f>E72*E73*D73</f>
        <v>20</v>
      </c>
      <c r="I73"/>
      <c r="J73"/>
      <c r="M73" s="19"/>
    </row>
    <row r="74" spans="1:13" x14ac:dyDescent="0.25">
      <c r="C74" t="s">
        <v>85</v>
      </c>
      <c r="D74"/>
      <c r="E74">
        <v>1.6</v>
      </c>
      <c r="F74" t="s">
        <v>82</v>
      </c>
      <c r="G74"/>
      <c r="H74">
        <f>E74*E72</f>
        <v>1.6</v>
      </c>
      <c r="I74"/>
      <c r="J74"/>
      <c r="M74" s="19"/>
    </row>
    <row r="75" spans="1:13" ht="15.75" thickBot="1" x14ac:dyDescent="0.3">
      <c r="D75"/>
      <c r="E75"/>
      <c r="F75"/>
      <c r="G75"/>
      <c r="H75"/>
      <c r="I75"/>
      <c r="J75"/>
      <c r="K75">
        <f>SUM(H73:H74)/E72</f>
        <v>21.6</v>
      </c>
      <c r="M75" s="19">
        <f>E72*K75</f>
        <v>21.6</v>
      </c>
    </row>
    <row r="76" spans="1:13" ht="15.75" thickBot="1" x14ac:dyDescent="0.3">
      <c r="D76"/>
      <c r="E76"/>
      <c r="F76"/>
      <c r="G76"/>
      <c r="H76"/>
      <c r="I76"/>
      <c r="J76"/>
      <c r="L76" s="59">
        <f>K71+K75</f>
        <v>50.7624</v>
      </c>
      <c r="M76" s="19"/>
    </row>
    <row r="77" spans="1:13" x14ac:dyDescent="0.25">
      <c r="B77" t="s">
        <v>86</v>
      </c>
      <c r="D77"/>
      <c r="E77">
        <f>E68</f>
        <v>1</v>
      </c>
      <c r="F77" t="s">
        <v>77</v>
      </c>
      <c r="G77"/>
      <c r="H77"/>
      <c r="I77"/>
      <c r="J77"/>
      <c r="M77" s="19"/>
    </row>
    <row r="78" spans="1:13" x14ac:dyDescent="0.25">
      <c r="C78" t="s">
        <v>87</v>
      </c>
      <c r="D78"/>
      <c r="E78">
        <f>580*1.12</f>
        <v>649.6</v>
      </c>
      <c r="F78" t="s">
        <v>81</v>
      </c>
      <c r="G78"/>
      <c r="H78">
        <f>E77*E78</f>
        <v>649.6</v>
      </c>
      <c r="I78"/>
      <c r="J78"/>
      <c r="M78" s="19"/>
    </row>
    <row r="79" spans="1:13" x14ac:dyDescent="0.25">
      <c r="D79"/>
      <c r="E79" s="21">
        <v>8.3799999999999999E-2</v>
      </c>
      <c r="F79" t="s">
        <v>88</v>
      </c>
      <c r="G79"/>
      <c r="H79"/>
      <c r="I79"/>
      <c r="J79"/>
      <c r="M79" s="19"/>
    </row>
    <row r="80" spans="1:13" ht="15.75" thickBot="1" x14ac:dyDescent="0.3">
      <c r="D80"/>
      <c r="E80"/>
      <c r="F80"/>
      <c r="G80"/>
      <c r="H80"/>
      <c r="I80"/>
      <c r="J80"/>
      <c r="K80" s="20">
        <f>E72*E79*E78</f>
        <v>54.436480000000003</v>
      </c>
      <c r="M80" s="19">
        <f>E77*E78</f>
        <v>649.6</v>
      </c>
    </row>
    <row r="81" spans="2:13" x14ac:dyDescent="0.25">
      <c r="B81" s="22"/>
      <c r="C81" s="23"/>
      <c r="D81" s="23"/>
      <c r="E81" s="23"/>
      <c r="F81" s="23"/>
      <c r="G81" s="62">
        <f>SUM(G71:G79)</f>
        <v>0.94469999999999987</v>
      </c>
      <c r="H81" s="23">
        <f>SUM(H69:H79)</f>
        <v>1019.2</v>
      </c>
      <c r="I81" s="23"/>
      <c r="J81" s="23"/>
      <c r="K81" s="64">
        <f>SUM(K71:K80)</f>
        <v>105.19888</v>
      </c>
      <c r="L81" s="23"/>
      <c r="M81" s="66">
        <f>SUM(M71:M80)</f>
        <v>1019.2</v>
      </c>
    </row>
    <row r="82" spans="2:13" ht="15.75" thickBot="1" x14ac:dyDescent="0.3">
      <c r="D82"/>
      <c r="E82"/>
      <c r="F82"/>
      <c r="G82" s="63" t="s">
        <v>84</v>
      </c>
      <c r="H82"/>
      <c r="I82"/>
      <c r="J82"/>
      <c r="K82" s="63" t="s">
        <v>97</v>
      </c>
      <c r="L82" s="56"/>
      <c r="M82" s="68" t="s">
        <v>258</v>
      </c>
    </row>
    <row r="83" spans="2:13" x14ac:dyDescent="0.25">
      <c r="D83"/>
      <c r="E83"/>
      <c r="F83"/>
      <c r="G83"/>
      <c r="H83"/>
      <c r="I83"/>
      <c r="J83"/>
      <c r="M83" s="19"/>
    </row>
    <row r="84" spans="2:13" x14ac:dyDescent="0.25">
      <c r="D84"/>
      <c r="E84"/>
      <c r="F84"/>
      <c r="G84"/>
      <c r="H84"/>
      <c r="I84"/>
      <c r="J84"/>
    </row>
    <row r="85" spans="2:13" x14ac:dyDescent="0.25">
      <c r="D85"/>
      <c r="E85"/>
      <c r="F85"/>
      <c r="G85"/>
      <c r="H85"/>
      <c r="I85"/>
      <c r="J85"/>
    </row>
    <row r="86" spans="2:13" x14ac:dyDescent="0.25">
      <c r="D86"/>
      <c r="E86"/>
      <c r="F86"/>
      <c r="G86"/>
      <c r="H86"/>
      <c r="I86"/>
      <c r="J86"/>
    </row>
    <row r="87" spans="2:13" x14ac:dyDescent="0.25">
      <c r="D87"/>
      <c r="E87"/>
      <c r="F87"/>
      <c r="G87"/>
      <c r="H87"/>
      <c r="I87"/>
      <c r="J87"/>
    </row>
    <row r="88" spans="2:13" x14ac:dyDescent="0.25">
      <c r="D88"/>
      <c r="E88"/>
      <c r="F88"/>
      <c r="G88"/>
      <c r="H88"/>
      <c r="I88"/>
      <c r="J88"/>
    </row>
    <row r="89" spans="2:13" x14ac:dyDescent="0.25">
      <c r="D89"/>
      <c r="E89"/>
      <c r="F89"/>
      <c r="G89"/>
      <c r="H89"/>
      <c r="I89"/>
      <c r="J89"/>
    </row>
    <row r="90" spans="2:13" x14ac:dyDescent="0.25">
      <c r="D90"/>
      <c r="E90"/>
      <c r="F90"/>
      <c r="G90"/>
      <c r="H90"/>
      <c r="I90"/>
      <c r="J90"/>
    </row>
    <row r="91" spans="2:13" x14ac:dyDescent="0.25">
      <c r="D91"/>
      <c r="E91"/>
      <c r="F91"/>
      <c r="G91"/>
      <c r="H91"/>
      <c r="I91"/>
      <c r="J91"/>
    </row>
    <row r="92" spans="2:13" x14ac:dyDescent="0.25">
      <c r="D92"/>
      <c r="E92"/>
      <c r="F92"/>
      <c r="G92"/>
      <c r="H92"/>
      <c r="I92"/>
      <c r="J92"/>
    </row>
    <row r="93" spans="2:13" x14ac:dyDescent="0.25">
      <c r="D93"/>
      <c r="E93"/>
      <c r="F93"/>
      <c r="G93"/>
      <c r="H93"/>
      <c r="I93"/>
      <c r="J93"/>
    </row>
    <row r="94" spans="2:13" x14ac:dyDescent="0.25">
      <c r="D94"/>
      <c r="E94"/>
      <c r="F94"/>
      <c r="G94"/>
      <c r="H94"/>
      <c r="I94"/>
      <c r="J94"/>
    </row>
    <row r="95" spans="2:13" x14ac:dyDescent="0.25">
      <c r="D95"/>
      <c r="E95"/>
      <c r="F95"/>
      <c r="G95"/>
      <c r="H95"/>
      <c r="I95"/>
      <c r="J95"/>
    </row>
    <row r="96" spans="2:13" x14ac:dyDescent="0.25">
      <c r="D96"/>
      <c r="E96"/>
      <c r="F96"/>
      <c r="G96"/>
      <c r="H96"/>
      <c r="I96"/>
      <c r="J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</sheetData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W68"/>
  <sheetViews>
    <sheetView zoomScaleNormal="100" workbookViewId="0">
      <selection activeCell="G36" sqref="G36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4" x14ac:dyDescent="0.25">
      <c r="C1" s="48" t="s">
        <v>242</v>
      </c>
    </row>
    <row r="2" spans="1:14" x14ac:dyDescent="0.25">
      <c r="A2" s="48"/>
      <c r="C2" s="54" t="s">
        <v>245</v>
      </c>
    </row>
    <row r="3" spans="1:14" ht="15.75" x14ac:dyDescent="0.3">
      <c r="B3" s="41" t="s">
        <v>35</v>
      </c>
      <c r="C3" s="39" t="s">
        <v>213</v>
      </c>
      <c r="D3" s="50"/>
      <c r="E3" s="40">
        <v>17</v>
      </c>
      <c r="F3" s="20"/>
      <c r="G3" s="20"/>
      <c r="H3" s="20"/>
      <c r="I3" s="20"/>
      <c r="J3" s="20"/>
      <c r="K3" s="20"/>
      <c r="L3" s="20"/>
      <c r="M3" s="20"/>
      <c r="N3" s="20"/>
    </row>
    <row r="4" spans="1:14" ht="15.75" x14ac:dyDescent="0.3">
      <c r="B4" s="41" t="s">
        <v>35</v>
      </c>
      <c r="C4" s="39" t="s">
        <v>212</v>
      </c>
      <c r="D4" s="50"/>
      <c r="E4" s="40">
        <v>23</v>
      </c>
      <c r="F4" s="20"/>
      <c r="G4" s="20"/>
      <c r="H4" s="20"/>
      <c r="I4" s="20"/>
      <c r="J4" s="20"/>
      <c r="K4" s="20"/>
      <c r="L4" s="20"/>
      <c r="M4" s="20"/>
      <c r="N4" s="20"/>
    </row>
    <row r="5" spans="1:14" ht="15.75" x14ac:dyDescent="0.3">
      <c r="B5" s="41" t="s">
        <v>35</v>
      </c>
      <c r="C5" s="39" t="s">
        <v>156</v>
      </c>
      <c r="D5" s="50"/>
      <c r="E5" s="40">
        <v>27</v>
      </c>
      <c r="F5" s="18"/>
      <c r="L5" s="19"/>
    </row>
    <row r="6" spans="1:14" ht="15.75" x14ac:dyDescent="0.3">
      <c r="B6" s="41" t="s">
        <v>35</v>
      </c>
      <c r="C6" s="39" t="s">
        <v>211</v>
      </c>
      <c r="D6" s="50"/>
      <c r="E6" s="40">
        <v>12</v>
      </c>
      <c r="L6" s="19"/>
    </row>
    <row r="7" spans="1:14" ht="15.75" x14ac:dyDescent="0.3">
      <c r="B7" s="41" t="s">
        <v>35</v>
      </c>
      <c r="C7" s="39" t="s">
        <v>18</v>
      </c>
      <c r="D7" s="50"/>
      <c r="E7" s="40">
        <v>14.5</v>
      </c>
      <c r="L7" s="19"/>
    </row>
    <row r="8" spans="1:14" ht="15.75" x14ac:dyDescent="0.3">
      <c r="B8" s="41" t="s">
        <v>35</v>
      </c>
      <c r="C8" s="39" t="s">
        <v>214</v>
      </c>
      <c r="D8" s="50"/>
      <c r="E8" s="40">
        <v>7.6</v>
      </c>
      <c r="L8" s="19"/>
    </row>
    <row r="9" spans="1:14" ht="15.75" x14ac:dyDescent="0.3">
      <c r="B9" s="41" t="s">
        <v>35</v>
      </c>
      <c r="C9" s="39" t="s">
        <v>215</v>
      </c>
      <c r="D9" s="50"/>
      <c r="E9" s="40">
        <v>8.9</v>
      </c>
      <c r="L9" s="19"/>
    </row>
    <row r="10" spans="1:14" ht="15.75" x14ac:dyDescent="0.3">
      <c r="B10" s="41" t="s">
        <v>35</v>
      </c>
      <c r="C10" s="39" t="s">
        <v>243</v>
      </c>
      <c r="D10" s="50"/>
      <c r="E10" s="40">
        <v>12</v>
      </c>
      <c r="L10" s="19"/>
    </row>
    <row r="11" spans="1:14" ht="15.75" x14ac:dyDescent="0.3">
      <c r="C11" s="54" t="s">
        <v>244</v>
      </c>
      <c r="D11" s="50"/>
      <c r="E11" s="40"/>
      <c r="L11" s="19"/>
    </row>
    <row r="12" spans="1:14" ht="15.75" x14ac:dyDescent="0.3">
      <c r="B12" s="46" t="s">
        <v>35</v>
      </c>
      <c r="C12" s="36" t="s">
        <v>221</v>
      </c>
      <c r="E12" s="52">
        <v>29.01</v>
      </c>
      <c r="L12" s="19"/>
    </row>
    <row r="13" spans="1:14" ht="15.75" x14ac:dyDescent="0.3">
      <c r="B13" s="41" t="s">
        <v>35</v>
      </c>
      <c r="C13" s="39" t="s">
        <v>18</v>
      </c>
      <c r="D13" s="50"/>
      <c r="E13" s="40">
        <v>14.5</v>
      </c>
      <c r="L13" s="19"/>
    </row>
    <row r="14" spans="1:14" ht="15.75" x14ac:dyDescent="0.3">
      <c r="B14" s="46" t="s">
        <v>35</v>
      </c>
      <c r="C14" s="36" t="s">
        <v>246</v>
      </c>
      <c r="E14" s="52"/>
      <c r="L14" s="19"/>
    </row>
    <row r="15" spans="1:14" ht="15.75" x14ac:dyDescent="0.3">
      <c r="B15" s="41" t="s">
        <v>35</v>
      </c>
      <c r="C15" s="39" t="s">
        <v>214</v>
      </c>
      <c r="D15" s="50"/>
      <c r="E15" s="40">
        <v>7.6</v>
      </c>
      <c r="L15" s="19"/>
    </row>
    <row r="16" spans="1:14" ht="15.75" x14ac:dyDescent="0.3">
      <c r="B16" s="41" t="s">
        <v>35</v>
      </c>
      <c r="C16" s="39" t="s">
        <v>215</v>
      </c>
      <c r="D16" s="50"/>
      <c r="E16" s="40">
        <v>8.9</v>
      </c>
      <c r="L16" s="19"/>
    </row>
    <row r="17" spans="1:14" x14ac:dyDescent="0.25">
      <c r="L17" s="19"/>
    </row>
    <row r="18" spans="1:14" x14ac:dyDescent="0.25">
      <c r="C18" s="48" t="s">
        <v>241</v>
      </c>
      <c r="L18" s="19"/>
    </row>
    <row r="19" spans="1:14" ht="15.75" x14ac:dyDescent="0.3">
      <c r="A19" s="48"/>
      <c r="B19" s="46" t="s">
        <v>24</v>
      </c>
      <c r="C19" s="36" t="s">
        <v>66</v>
      </c>
      <c r="E19" s="52">
        <v>60</v>
      </c>
      <c r="I19" s="48"/>
      <c r="J19" s="71"/>
      <c r="K19" s="71"/>
      <c r="L19" s="72"/>
      <c r="M19" s="70"/>
      <c r="N19" s="71"/>
    </row>
    <row r="20" spans="1:14" ht="15.75" x14ac:dyDescent="0.3">
      <c r="A20" s="48"/>
      <c r="B20" s="46" t="s">
        <v>35</v>
      </c>
      <c r="C20" s="36" t="s">
        <v>221</v>
      </c>
      <c r="E20" s="52">
        <v>29.01</v>
      </c>
      <c r="H20" s="46"/>
      <c r="I20" s="36"/>
      <c r="J20" s="71"/>
      <c r="K20" s="71"/>
      <c r="L20" s="72"/>
      <c r="M20" s="71"/>
      <c r="N20" s="71"/>
    </row>
    <row r="21" spans="1:14" ht="15.75" x14ac:dyDescent="0.3">
      <c r="B21" s="46" t="s">
        <v>35</v>
      </c>
      <c r="C21" s="36" t="s">
        <v>222</v>
      </c>
      <c r="E21" s="52">
        <v>16.61</v>
      </c>
      <c r="H21" s="46"/>
      <c r="I21" s="36"/>
      <c r="J21" s="71"/>
      <c r="K21" s="71"/>
      <c r="L21" s="72"/>
      <c r="M21" s="71"/>
      <c r="N21" s="71"/>
    </row>
    <row r="22" spans="1:14" ht="15.75" x14ac:dyDescent="0.3">
      <c r="B22" s="46" t="s">
        <v>35</v>
      </c>
      <c r="C22" s="36" t="s">
        <v>223</v>
      </c>
      <c r="E22" s="52">
        <v>63.19</v>
      </c>
      <c r="H22" s="46"/>
      <c r="I22" s="36"/>
      <c r="J22" s="71"/>
      <c r="K22" s="71"/>
      <c r="L22" s="72"/>
      <c r="M22" s="71"/>
      <c r="N22" s="71"/>
    </row>
    <row r="23" spans="1:14" ht="15.75" x14ac:dyDescent="0.3">
      <c r="B23" s="46" t="s">
        <v>35</v>
      </c>
      <c r="C23" s="36" t="s">
        <v>224</v>
      </c>
      <c r="E23" s="52">
        <v>18</v>
      </c>
      <c r="H23" s="46"/>
      <c r="I23" s="36"/>
      <c r="J23" s="71"/>
      <c r="K23" s="71"/>
      <c r="L23" s="72"/>
      <c r="M23" s="71"/>
      <c r="N23" s="71"/>
    </row>
    <row r="24" spans="1:14" ht="15.75" x14ac:dyDescent="0.3">
      <c r="B24" s="46" t="s">
        <v>35</v>
      </c>
      <c r="C24" s="36" t="s">
        <v>214</v>
      </c>
      <c r="E24" s="52">
        <v>11</v>
      </c>
      <c r="H24" s="46"/>
      <c r="I24" s="36"/>
      <c r="J24" s="71"/>
      <c r="K24" s="71"/>
      <c r="L24" s="72"/>
      <c r="M24" s="71"/>
      <c r="N24" s="71"/>
    </row>
    <row r="25" spans="1:14" ht="15.75" x14ac:dyDescent="0.3">
      <c r="B25" s="46" t="s">
        <v>35</v>
      </c>
      <c r="C25" s="36" t="s">
        <v>225</v>
      </c>
      <c r="E25" s="52">
        <v>12</v>
      </c>
      <c r="H25" s="46"/>
      <c r="I25" s="36"/>
      <c r="J25" s="71"/>
      <c r="K25" s="71"/>
      <c r="L25" s="72"/>
      <c r="M25" s="71"/>
      <c r="N25" s="71"/>
    </row>
    <row r="26" spans="1:14" ht="15.75" x14ac:dyDescent="0.3">
      <c r="B26" s="49" t="s">
        <v>24</v>
      </c>
      <c r="C26" s="39" t="s">
        <v>208</v>
      </c>
      <c r="D26" s="50"/>
      <c r="E26" s="53">
        <v>16</v>
      </c>
      <c r="G26" s="20"/>
      <c r="L26" s="19"/>
    </row>
    <row r="27" spans="1:14" ht="15.75" x14ac:dyDescent="0.3">
      <c r="B27" s="46" t="s">
        <v>24</v>
      </c>
      <c r="C27" s="36" t="s">
        <v>226</v>
      </c>
      <c r="E27" s="52">
        <v>20.100000000000001</v>
      </c>
      <c r="L27" s="19"/>
    </row>
    <row r="28" spans="1:14" ht="15.75" x14ac:dyDescent="0.3">
      <c r="B28" s="46" t="s">
        <v>24</v>
      </c>
      <c r="C28" s="36" t="s">
        <v>227</v>
      </c>
      <c r="E28" s="52">
        <v>50</v>
      </c>
      <c r="L28" s="19"/>
    </row>
    <row r="29" spans="1:14" ht="15.75" x14ac:dyDescent="0.3">
      <c r="B29" s="46" t="s">
        <v>24</v>
      </c>
      <c r="C29" s="36" t="s">
        <v>229</v>
      </c>
      <c r="E29" s="52">
        <f>(55*1.2+55)/11.5</f>
        <v>10.521739130434783</v>
      </c>
      <c r="L29" s="19"/>
    </row>
    <row r="30" spans="1:14" ht="15.75" x14ac:dyDescent="0.3">
      <c r="B30" s="46"/>
      <c r="C30" s="48" t="s">
        <v>263</v>
      </c>
      <c r="D30" s="52"/>
      <c r="L30" s="19"/>
    </row>
    <row r="31" spans="1:14" ht="15.75" x14ac:dyDescent="0.3">
      <c r="B31" s="46" t="s">
        <v>24</v>
      </c>
      <c r="C31" s="36" t="s">
        <v>157</v>
      </c>
      <c r="D31" s="44"/>
      <c r="E31" s="45">
        <v>38</v>
      </c>
      <c r="L31" s="19"/>
    </row>
    <row r="32" spans="1:14" ht="15.75" x14ac:dyDescent="0.3">
      <c r="B32" s="46" t="s">
        <v>24</v>
      </c>
      <c r="C32" s="36" t="s">
        <v>230</v>
      </c>
      <c r="D32" s="44"/>
      <c r="E32" s="45">
        <v>53</v>
      </c>
      <c r="L32" s="19"/>
    </row>
    <row r="33" spans="2:12" ht="15.75" x14ac:dyDescent="0.3">
      <c r="B33" s="46" t="s">
        <v>24</v>
      </c>
      <c r="C33" s="36" t="s">
        <v>158</v>
      </c>
      <c r="D33" s="44"/>
      <c r="E33" s="45">
        <v>9.1</v>
      </c>
      <c r="L33" s="19"/>
    </row>
    <row r="34" spans="2:12" ht="15.75" x14ac:dyDescent="0.3">
      <c r="B34" s="46" t="s">
        <v>150</v>
      </c>
      <c r="C34" s="36" t="s">
        <v>159</v>
      </c>
      <c r="D34" s="44"/>
      <c r="E34" s="45">
        <v>450</v>
      </c>
      <c r="L34" s="19"/>
    </row>
    <row r="35" spans="2:12" ht="15.75" x14ac:dyDescent="0.3">
      <c r="B35" s="46" t="s">
        <v>24</v>
      </c>
      <c r="C35" s="36" t="s">
        <v>160</v>
      </c>
      <c r="D35" s="44"/>
      <c r="E35" s="45">
        <v>9.1999999999999993</v>
      </c>
      <c r="L35" s="19"/>
    </row>
    <row r="36" spans="2:12" ht="15.75" x14ac:dyDescent="0.3">
      <c r="B36" s="46" t="s">
        <v>24</v>
      </c>
      <c r="C36" s="36" t="s">
        <v>247</v>
      </c>
      <c r="D36" s="44"/>
      <c r="E36" s="45">
        <v>35</v>
      </c>
      <c r="L36" s="19"/>
    </row>
    <row r="37" spans="2:12" ht="15.75" x14ac:dyDescent="0.3">
      <c r="B37" s="46" t="s">
        <v>150</v>
      </c>
      <c r="C37" s="36" t="s">
        <v>161</v>
      </c>
      <c r="D37" s="44"/>
      <c r="E37" s="45">
        <v>230</v>
      </c>
      <c r="L37" s="19"/>
    </row>
    <row r="38" spans="2:12" ht="15.75" x14ac:dyDescent="0.3">
      <c r="B38" s="46" t="s">
        <v>150</v>
      </c>
      <c r="C38" s="36" t="s">
        <v>162</v>
      </c>
      <c r="D38" s="44"/>
      <c r="E38" s="45">
        <f>2*55+3*1*50+0.5*2*50</f>
        <v>310</v>
      </c>
      <c r="L38" s="19"/>
    </row>
    <row r="39" spans="2:12" x14ac:dyDescent="0.25">
      <c r="L39" s="19"/>
    </row>
    <row r="40" spans="2:12" x14ac:dyDescent="0.25">
      <c r="L40" s="19"/>
    </row>
    <row r="41" spans="2:12" x14ac:dyDescent="0.25">
      <c r="D41" s="20"/>
      <c r="L41" s="19"/>
    </row>
    <row r="42" spans="2:12" x14ac:dyDescent="0.25">
      <c r="L42" s="19"/>
    </row>
    <row r="43" spans="2:12" x14ac:dyDescent="0.25">
      <c r="L43" s="19"/>
    </row>
    <row r="44" spans="2:12" x14ac:dyDescent="0.25">
      <c r="L44" s="19"/>
    </row>
    <row r="45" spans="2:12" x14ac:dyDescent="0.25">
      <c r="L45" s="19"/>
    </row>
    <row r="46" spans="2:12" x14ac:dyDescent="0.25">
      <c r="J46" s="20"/>
      <c r="L46" s="19"/>
    </row>
    <row r="47" spans="2:12" x14ac:dyDescent="0.25">
      <c r="L47" s="19"/>
    </row>
    <row r="48" spans="2:12" x14ac:dyDescent="0.25">
      <c r="L48" s="19"/>
    </row>
    <row r="49" spans="1:23" x14ac:dyDescent="0.25">
      <c r="L49" s="19"/>
    </row>
    <row r="50" spans="1:23" x14ac:dyDescent="0.25">
      <c r="D50" s="20"/>
      <c r="G50" s="20"/>
      <c r="L50" s="19"/>
    </row>
    <row r="51" spans="1:23" x14ac:dyDescent="0.25">
      <c r="J51" s="20"/>
      <c r="L51" s="19"/>
    </row>
    <row r="52" spans="1:23" x14ac:dyDescent="0.25">
      <c r="L52" s="19"/>
    </row>
    <row r="53" spans="1:23" x14ac:dyDescent="0.25">
      <c r="F53" s="33"/>
      <c r="G53" s="34"/>
      <c r="L53" s="19"/>
      <c r="N53" s="20"/>
    </row>
    <row r="57" spans="1:23" ht="15.75" x14ac:dyDescent="0.3">
      <c r="E57" s="1"/>
      <c r="F57" s="1"/>
      <c r="G57" s="1"/>
      <c r="H57" s="1"/>
      <c r="I57" s="1"/>
      <c r="J57" s="1"/>
      <c r="K57" s="1"/>
      <c r="L57" s="1"/>
      <c r="M57" s="1"/>
    </row>
    <row r="59" spans="1:23" ht="15.75" x14ac:dyDescent="0.3">
      <c r="A59" s="1"/>
      <c r="B59" s="1"/>
      <c r="C59" s="2"/>
      <c r="D59" s="1"/>
      <c r="E59" s="1"/>
      <c r="F59" s="1"/>
      <c r="G59" s="7"/>
      <c r="H59" s="7"/>
      <c r="I59" s="7"/>
      <c r="J59" s="7"/>
      <c r="K59" s="142"/>
      <c r="L59" s="142"/>
      <c r="M59" s="142"/>
      <c r="N59" s="7"/>
      <c r="O59" s="142"/>
      <c r="P59" s="142"/>
      <c r="Q59" s="142"/>
      <c r="R59" s="1"/>
      <c r="S59" s="1"/>
      <c r="T59" s="7"/>
      <c r="U59" s="35"/>
      <c r="V59" s="15"/>
      <c r="W59" s="1"/>
    </row>
    <row r="60" spans="1:23" ht="15.75" x14ac:dyDescent="0.3">
      <c r="A60" s="1"/>
      <c r="B60" s="1"/>
      <c r="C60" s="2"/>
      <c r="D60" s="1"/>
      <c r="E60" s="1"/>
      <c r="F60" s="1"/>
      <c r="G60" s="1"/>
      <c r="H60" s="1"/>
      <c r="I60" s="1"/>
      <c r="J60" s="1"/>
      <c r="K60" s="5"/>
      <c r="L60" s="5"/>
      <c r="M60" s="5"/>
      <c r="N60" s="1"/>
      <c r="O60" s="8"/>
      <c r="P60" s="143"/>
      <c r="Q60" s="143"/>
      <c r="R60" s="1"/>
      <c r="S60" s="1"/>
      <c r="T60" s="1"/>
      <c r="U60" s="15"/>
      <c r="V60" s="1"/>
      <c r="W60" s="1"/>
    </row>
    <row r="61" spans="1:23" ht="15.75" x14ac:dyDescent="0.3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3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x14ac:dyDescent="0.3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x14ac:dyDescent="0.3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x14ac:dyDescent="0.3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x14ac:dyDescent="0.3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x14ac:dyDescent="0.3">
      <c r="A68" s="1"/>
    </row>
  </sheetData>
  <mergeCells count="3">
    <mergeCell ref="K59:M59"/>
    <mergeCell ref="O59:Q59"/>
    <mergeCell ref="P60:Q60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89"/>
  <sheetViews>
    <sheetView topLeftCell="B1" zoomScale="85" zoomScaleNormal="85" workbookViewId="0">
      <selection activeCell="E55" sqref="E55"/>
    </sheetView>
  </sheetViews>
  <sheetFormatPr baseColWidth="10" defaultColWidth="10.85546875" defaultRowHeight="15.75" x14ac:dyDescent="0.3"/>
  <cols>
    <col min="1" max="1" width="7.42578125" style="91" customWidth="1"/>
    <col min="2" max="2" width="3.85546875" bestFit="1" customWidth="1"/>
    <col min="3" max="3" width="43.85546875" bestFit="1" customWidth="1"/>
    <col min="4" max="4" width="9.140625" customWidth="1"/>
    <col min="5" max="5" width="9.140625" style="20" customWidth="1"/>
    <col min="6" max="6" width="9.140625" style="94" customWidth="1"/>
    <col min="7" max="7" width="9.140625" style="20" customWidth="1"/>
    <col min="8" max="8" width="10.85546875" style="20"/>
    <col min="9" max="9" width="13.42578125" style="20" customWidth="1"/>
    <col min="10" max="13" width="10.85546875" style="20"/>
  </cols>
  <sheetData>
    <row r="1" spans="2:15" x14ac:dyDescent="0.3"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</row>
    <row r="2" spans="2:15" x14ac:dyDescent="0.3">
      <c r="C2" s="48" t="s">
        <v>205</v>
      </c>
      <c r="G2" s="84"/>
      <c r="H2" s="84"/>
    </row>
    <row r="3" spans="2:15" x14ac:dyDescent="0.3">
      <c r="B3" s="43" t="s">
        <v>35</v>
      </c>
      <c r="C3" s="36" t="s">
        <v>163</v>
      </c>
      <c r="D3" s="86">
        <f>G3+H3</f>
        <v>128.18</v>
      </c>
      <c r="E3" s="45">
        <f>A3*D3</f>
        <v>0</v>
      </c>
      <c r="F3" s="95">
        <f>G3/52</f>
        <v>1.4</v>
      </c>
      <c r="G3" s="85">
        <f>1.4*52</f>
        <v>72.8</v>
      </c>
      <c r="H3" s="85">
        <f>128.18-G3</f>
        <v>55.38000000000001</v>
      </c>
      <c r="I3" s="20">
        <v>5.62</v>
      </c>
      <c r="N3" s="20"/>
    </row>
    <row r="4" spans="2:15" x14ac:dyDescent="0.3">
      <c r="B4" s="43"/>
      <c r="C4" s="36" t="s">
        <v>164</v>
      </c>
      <c r="D4" s="86"/>
      <c r="E4" s="45"/>
      <c r="F4" s="95"/>
      <c r="G4" s="85"/>
      <c r="H4" s="85"/>
    </row>
    <row r="5" spans="2:15" x14ac:dyDescent="0.3">
      <c r="B5" s="43" t="s">
        <v>77</v>
      </c>
      <c r="C5" s="36" t="s">
        <v>165</v>
      </c>
      <c r="D5" s="86">
        <v>1000</v>
      </c>
      <c r="E5" s="45">
        <f t="shared" ref="E5:E9" si="0">A5*D5</f>
        <v>0</v>
      </c>
      <c r="F5" s="95">
        <f t="shared" ref="F5:F9" si="1">G5/52</f>
        <v>5.2523076923076903</v>
      </c>
      <c r="G5" s="85">
        <f>D5-H5</f>
        <v>273.11999999999989</v>
      </c>
      <c r="H5" s="85">
        <f>550*1.12*1.18</f>
        <v>726.88000000000011</v>
      </c>
    </row>
    <row r="6" spans="2:15" x14ac:dyDescent="0.3">
      <c r="B6" s="43" t="s">
        <v>35</v>
      </c>
      <c r="C6" s="36" t="s">
        <v>166</v>
      </c>
      <c r="D6" s="86">
        <f t="shared" ref="D6:D9" si="2">G6+H6</f>
        <v>12</v>
      </c>
      <c r="E6" s="45">
        <f t="shared" si="0"/>
        <v>0</v>
      </c>
      <c r="F6" s="95">
        <f>G6/52</f>
        <v>0.19230769230769232</v>
      </c>
      <c r="G6" s="85">
        <f>0.2*50</f>
        <v>10</v>
      </c>
      <c r="H6" s="85">
        <v>2</v>
      </c>
    </row>
    <row r="7" spans="2:15" x14ac:dyDescent="0.3">
      <c r="B7" s="43" t="s">
        <v>35</v>
      </c>
      <c r="C7" s="36" t="s">
        <v>167</v>
      </c>
      <c r="D7" s="86">
        <f>G7+H7</f>
        <v>20</v>
      </c>
      <c r="E7" s="45">
        <f>A7*D7</f>
        <v>0</v>
      </c>
      <c r="F7" s="95">
        <f>G7/50</f>
        <v>0.4</v>
      </c>
      <c r="G7" s="85">
        <f>0.4*50</f>
        <v>20</v>
      </c>
      <c r="H7" s="85">
        <v>0</v>
      </c>
    </row>
    <row r="8" spans="2:15" x14ac:dyDescent="0.3">
      <c r="B8" s="43" t="s">
        <v>24</v>
      </c>
      <c r="C8" s="36" t="s">
        <v>168</v>
      </c>
      <c r="D8" s="86">
        <f t="shared" si="2"/>
        <v>52.413600000000002</v>
      </c>
      <c r="E8" s="45">
        <f t="shared" si="0"/>
        <v>0</v>
      </c>
      <c r="F8" s="95">
        <f>G8/50</f>
        <v>0.8</v>
      </c>
      <c r="G8" s="85">
        <f>0.8*50</f>
        <v>40</v>
      </c>
      <c r="H8" s="85">
        <f>0.06*0.16*550*1.12+3.5+3</f>
        <v>12.413599999999999</v>
      </c>
    </row>
    <row r="9" spans="2:15" x14ac:dyDescent="0.3">
      <c r="B9" s="43" t="s">
        <v>122</v>
      </c>
      <c r="C9" s="43" t="s">
        <v>169</v>
      </c>
      <c r="D9" s="86">
        <f t="shared" si="2"/>
        <v>0</v>
      </c>
      <c r="E9" s="45">
        <f t="shared" si="0"/>
        <v>0</v>
      </c>
      <c r="F9" s="95">
        <f t="shared" si="1"/>
        <v>0</v>
      </c>
      <c r="G9" s="85"/>
      <c r="H9" s="85"/>
    </row>
    <row r="10" spans="2:15" x14ac:dyDescent="0.3">
      <c r="B10" s="46"/>
      <c r="C10" s="36"/>
      <c r="D10" s="86"/>
      <c r="E10" s="45"/>
      <c r="F10" s="95"/>
      <c r="G10" s="85"/>
      <c r="H10" s="85"/>
    </row>
    <row r="11" spans="2:15" x14ac:dyDescent="0.3">
      <c r="B11" s="46"/>
      <c r="C11" s="36"/>
      <c r="D11" s="86"/>
      <c r="E11" s="45"/>
      <c r="F11" s="95"/>
      <c r="G11" s="85"/>
      <c r="H11" s="85"/>
    </row>
    <row r="12" spans="2:15" x14ac:dyDescent="0.3">
      <c r="D12" s="93"/>
      <c r="E12" s="45"/>
      <c r="F12" s="95"/>
      <c r="G12" s="85"/>
      <c r="H12" s="85"/>
      <c r="M12"/>
    </row>
    <row r="13" spans="2:15" x14ac:dyDescent="0.3">
      <c r="C13" s="48" t="s">
        <v>200</v>
      </c>
      <c r="D13" s="93"/>
      <c r="E13" s="45"/>
      <c r="F13" s="95"/>
      <c r="G13" s="85"/>
      <c r="H13" s="85"/>
      <c r="M13" s="90">
        <f>0.03*0.16</f>
        <v>4.7999999999999996E-3</v>
      </c>
      <c r="N13" t="s">
        <v>281</v>
      </c>
      <c r="O13" t="s">
        <v>282</v>
      </c>
    </row>
    <row r="14" spans="2:15" x14ac:dyDescent="0.3">
      <c r="B14" s="46" t="s">
        <v>24</v>
      </c>
      <c r="C14" s="36" t="s">
        <v>202</v>
      </c>
      <c r="D14" s="86">
        <f t="shared" ref="D14:D15" si="3">G14+H14</f>
        <v>32.92</v>
      </c>
      <c r="E14" s="45">
        <f t="shared" ref="E14:E15" si="4">A14*D14</f>
        <v>0</v>
      </c>
      <c r="F14" s="95">
        <f t="shared" ref="F14:F15" si="5">G14/50*A14</f>
        <v>0</v>
      </c>
      <c r="G14" s="85">
        <f>50*0.6</f>
        <v>30</v>
      </c>
      <c r="H14" s="85">
        <f>0.8*2*1.2+1</f>
        <v>2.92</v>
      </c>
      <c r="M14" s="20">
        <v>0.12</v>
      </c>
      <c r="N14" t="s">
        <v>77</v>
      </c>
      <c r="O14" t="s">
        <v>283</v>
      </c>
    </row>
    <row r="15" spans="2:15" x14ac:dyDescent="0.3">
      <c r="B15" s="46" t="s">
        <v>177</v>
      </c>
      <c r="C15" s="36" t="s">
        <v>277</v>
      </c>
      <c r="D15" s="86">
        <f t="shared" si="3"/>
        <v>60</v>
      </c>
      <c r="E15" s="45">
        <f t="shared" si="4"/>
        <v>0</v>
      </c>
      <c r="F15" s="95">
        <f t="shared" si="5"/>
        <v>0</v>
      </c>
      <c r="G15" s="85">
        <v>60</v>
      </c>
      <c r="H15" s="85">
        <v>0</v>
      </c>
    </row>
    <row r="16" spans="2:15" x14ac:dyDescent="0.3">
      <c r="B16" s="46" t="s">
        <v>122</v>
      </c>
      <c r="C16" s="36" t="s">
        <v>201</v>
      </c>
      <c r="D16" s="86">
        <f>G16+H16</f>
        <v>300</v>
      </c>
      <c r="E16" s="45">
        <f>A16*D16</f>
        <v>0</v>
      </c>
      <c r="F16" s="95">
        <f>G16/50*A16</f>
        <v>0</v>
      </c>
      <c r="G16" s="85">
        <v>0</v>
      </c>
      <c r="H16" s="85">
        <v>300</v>
      </c>
    </row>
    <row r="17" spans="1:13" x14ac:dyDescent="0.3">
      <c r="B17" s="46"/>
      <c r="C17" s="36"/>
      <c r="D17" s="86"/>
      <c r="E17" s="45"/>
      <c r="F17" s="95"/>
      <c r="G17" s="85"/>
      <c r="H17" s="85"/>
    </row>
    <row r="18" spans="1:13" x14ac:dyDescent="0.3">
      <c r="B18" s="46" t="s">
        <v>177</v>
      </c>
      <c r="C18" s="36" t="s">
        <v>278</v>
      </c>
      <c r="D18" s="93"/>
      <c r="E18" s="45"/>
      <c r="F18" s="95"/>
      <c r="G18" s="85"/>
      <c r="H18" s="85"/>
    </row>
    <row r="19" spans="1:13" x14ac:dyDescent="0.3">
      <c r="B19" s="46" t="s">
        <v>135</v>
      </c>
      <c r="C19" s="36" t="s">
        <v>204</v>
      </c>
      <c r="D19" s="93"/>
      <c r="E19" s="45"/>
      <c r="F19" s="95"/>
      <c r="G19" s="85"/>
      <c r="H19" s="85"/>
    </row>
    <row r="20" spans="1:13" x14ac:dyDescent="0.3">
      <c r="D20" s="93"/>
      <c r="E20" s="45"/>
      <c r="F20" s="95"/>
      <c r="G20" s="85"/>
      <c r="H20" s="85"/>
    </row>
    <row r="21" spans="1:13" x14ac:dyDescent="0.3">
      <c r="D21" s="93"/>
      <c r="E21" s="45"/>
      <c r="F21" s="95"/>
      <c r="G21" s="85"/>
      <c r="H21" s="85"/>
    </row>
    <row r="22" spans="1:13" x14ac:dyDescent="0.3">
      <c r="C22" s="48" t="s">
        <v>206</v>
      </c>
      <c r="D22" s="93"/>
      <c r="E22" s="45"/>
      <c r="F22" s="95"/>
      <c r="G22" s="85"/>
      <c r="H22" s="85"/>
    </row>
    <row r="23" spans="1:13" x14ac:dyDescent="0.3">
      <c r="B23" s="43" t="s">
        <v>35</v>
      </c>
      <c r="C23" s="36" t="s">
        <v>279</v>
      </c>
      <c r="D23" s="86">
        <f>G23+H23</f>
        <v>71.91</v>
      </c>
      <c r="E23" s="45">
        <f>A23*D23</f>
        <v>0</v>
      </c>
      <c r="F23" s="95">
        <f>(G23/52)*A23</f>
        <v>0</v>
      </c>
      <c r="G23" s="85">
        <f>0.9*52</f>
        <v>46.800000000000004</v>
      </c>
      <c r="H23" s="85">
        <f>77.41-G23-5.5</f>
        <v>25.109999999999992</v>
      </c>
    </row>
    <row r="24" spans="1:13" x14ac:dyDescent="0.3">
      <c r="B24" s="43" t="s">
        <v>35</v>
      </c>
      <c r="C24" s="36" t="s">
        <v>280</v>
      </c>
      <c r="D24" s="86">
        <f>G24+H24</f>
        <v>77.41</v>
      </c>
      <c r="E24" s="45">
        <f>A24*D24</f>
        <v>0</v>
      </c>
      <c r="F24" s="95">
        <f>G24/52*A24</f>
        <v>0</v>
      </c>
      <c r="G24" s="85">
        <f>0.9*52</f>
        <v>46.800000000000004</v>
      </c>
      <c r="H24" s="85">
        <f>77.41-G24</f>
        <v>30.609999999999992</v>
      </c>
    </row>
    <row r="25" spans="1:13" x14ac:dyDescent="0.3">
      <c r="B25" s="43" t="s">
        <v>35</v>
      </c>
      <c r="C25" s="36" t="s">
        <v>284</v>
      </c>
      <c r="D25" s="86">
        <f>G25+H25</f>
        <v>108.73</v>
      </c>
      <c r="E25" s="45">
        <f>A25*D25</f>
        <v>0</v>
      </c>
      <c r="F25" s="95">
        <f>G25/52*A25</f>
        <v>0</v>
      </c>
      <c r="G25" s="85">
        <f>1.3*52</f>
        <v>67.600000000000009</v>
      </c>
      <c r="H25" s="85">
        <f>114.23-G25-5.5</f>
        <v>41.129999999999995</v>
      </c>
    </row>
    <row r="26" spans="1:13" x14ac:dyDescent="0.3">
      <c r="B26" s="43" t="s">
        <v>35</v>
      </c>
      <c r="C26" s="36" t="s">
        <v>167</v>
      </c>
      <c r="D26" s="86">
        <f>G26+H26</f>
        <v>20</v>
      </c>
      <c r="E26" s="45">
        <f>A26*D26</f>
        <v>0</v>
      </c>
      <c r="F26" s="95">
        <f>G26/50*A26</f>
        <v>0</v>
      </c>
      <c r="G26" s="85">
        <f>0.4*50</f>
        <v>20</v>
      </c>
      <c r="H26" s="85">
        <v>0</v>
      </c>
    </row>
    <row r="27" spans="1:13" x14ac:dyDescent="0.3">
      <c r="B27" s="43" t="s">
        <v>24</v>
      </c>
      <c r="C27" s="36" t="s">
        <v>168</v>
      </c>
      <c r="D27" s="86">
        <f t="shared" ref="D27" si="6">G27+H27</f>
        <v>52.413600000000002</v>
      </c>
      <c r="E27" s="45">
        <f t="shared" ref="E27" si="7">A27*D27</f>
        <v>0</v>
      </c>
      <c r="F27" s="95">
        <f>G27/50</f>
        <v>0.8</v>
      </c>
      <c r="G27" s="85">
        <f>0.8*50</f>
        <v>40</v>
      </c>
      <c r="H27" s="85">
        <f>0.06*0.16*550*1.12+3.5+3</f>
        <v>12.413599999999999</v>
      </c>
    </row>
    <row r="28" spans="1:13" x14ac:dyDescent="0.3">
      <c r="B28" s="43"/>
      <c r="D28" s="93"/>
      <c r="E28" s="93"/>
      <c r="F28" s="96"/>
      <c r="G28" s="93"/>
      <c r="H28" s="93"/>
    </row>
    <row r="29" spans="1:13" x14ac:dyDescent="0.3">
      <c r="B29" s="43"/>
      <c r="D29" s="93"/>
      <c r="E29" s="93"/>
      <c r="F29" s="96"/>
      <c r="G29" s="93"/>
      <c r="H29" s="93"/>
    </row>
    <row r="30" spans="1:13" x14ac:dyDescent="0.3">
      <c r="B30" s="43"/>
    </row>
    <row r="31" spans="1:13" ht="15" x14ac:dyDescent="0.25">
      <c r="A31"/>
      <c r="C31" s="33" t="s">
        <v>91</v>
      </c>
    </row>
    <row r="32" spans="1:13" x14ac:dyDescent="0.3">
      <c r="D32" t="s">
        <v>71</v>
      </c>
      <c r="G32" s="33" t="s">
        <v>72</v>
      </c>
      <c r="H32" s="20" t="s">
        <v>73</v>
      </c>
      <c r="M32" s="20" t="s">
        <v>75</v>
      </c>
    </row>
    <row r="33" spans="3:14" x14ac:dyDescent="0.3">
      <c r="C33" t="s">
        <v>92</v>
      </c>
      <c r="E33" s="88">
        <v>1</v>
      </c>
      <c r="F33" s="94" t="s">
        <v>35</v>
      </c>
    </row>
    <row r="34" spans="3:14" x14ac:dyDescent="0.3">
      <c r="C34" t="s">
        <v>78</v>
      </c>
      <c r="D34">
        <v>52</v>
      </c>
      <c r="E34" s="20">
        <v>0.2</v>
      </c>
      <c r="F34" s="94" t="s">
        <v>84</v>
      </c>
      <c r="G34" s="20">
        <f>E34*E33</f>
        <v>0.2</v>
      </c>
      <c r="H34" s="20">
        <f>E33*E34*D34</f>
        <v>10.4</v>
      </c>
    </row>
    <row r="35" spans="3:14" x14ac:dyDescent="0.3">
      <c r="C35" t="s">
        <v>0</v>
      </c>
      <c r="E35" s="20">
        <f>6*1.12*1.15</f>
        <v>7.7279999999999998</v>
      </c>
      <c r="F35" s="94" t="s">
        <v>82</v>
      </c>
      <c r="H35" s="20">
        <f>E33*E35</f>
        <v>7.7279999999999998</v>
      </c>
      <c r="J35" s="20" t="s">
        <v>466</v>
      </c>
      <c r="L35" s="20" t="s">
        <v>468</v>
      </c>
    </row>
    <row r="36" spans="3:14" x14ac:dyDescent="0.3">
      <c r="C36" t="s">
        <v>80</v>
      </c>
      <c r="E36" s="20">
        <v>0.15</v>
      </c>
      <c r="F36" s="94" t="s">
        <v>82</v>
      </c>
      <c r="H36" s="20">
        <f>E34*E36</f>
        <v>0.03</v>
      </c>
      <c r="J36" s="20" t="s">
        <v>467</v>
      </c>
    </row>
    <row r="37" spans="3:14" x14ac:dyDescent="0.3">
      <c r="M37" s="20">
        <f>SUM(H34:H36)</f>
        <v>18.158000000000001</v>
      </c>
      <c r="N37" t="s">
        <v>480</v>
      </c>
    </row>
    <row r="40" spans="3:14" x14ac:dyDescent="0.3">
      <c r="C40" t="s">
        <v>93</v>
      </c>
      <c r="E40" s="20">
        <f>E33</f>
        <v>1</v>
      </c>
      <c r="F40" s="94" t="s">
        <v>35</v>
      </c>
    </row>
    <row r="41" spans="3:14" x14ac:dyDescent="0.3">
      <c r="C41" t="s">
        <v>78</v>
      </c>
      <c r="D41">
        <v>52</v>
      </c>
      <c r="E41" s="20">
        <f>3/15</f>
        <v>0.2</v>
      </c>
      <c r="F41" s="94" t="s">
        <v>84</v>
      </c>
      <c r="G41" s="20">
        <f>E41*E40</f>
        <v>0.2</v>
      </c>
      <c r="H41" s="20">
        <f>E40*E41*D41</f>
        <v>10.4</v>
      </c>
    </row>
    <row r="42" spans="3:14" x14ac:dyDescent="0.3">
      <c r="C42" t="s">
        <v>0</v>
      </c>
      <c r="E42" s="20">
        <f>13.43*1.15*1.15</f>
        <v>17.761174999999998</v>
      </c>
      <c r="F42" s="94" t="s">
        <v>82</v>
      </c>
      <c r="H42" s="20">
        <f>E40*E42</f>
        <v>17.761174999999998</v>
      </c>
    </row>
    <row r="43" spans="3:14" x14ac:dyDescent="0.3">
      <c r="C43" t="s">
        <v>80</v>
      </c>
      <c r="E43" s="20">
        <v>0.5</v>
      </c>
      <c r="F43" s="94" t="s">
        <v>82</v>
      </c>
      <c r="H43" s="20">
        <f>E41*E43</f>
        <v>0.1</v>
      </c>
    </row>
    <row r="44" spans="3:14" x14ac:dyDescent="0.3">
      <c r="M44" s="20">
        <f>SUM(H41:H43)</f>
        <v>28.261175000000001</v>
      </c>
    </row>
    <row r="46" spans="3:14" x14ac:dyDescent="0.3">
      <c r="C46" t="s">
        <v>94</v>
      </c>
      <c r="E46" s="20">
        <f>E33</f>
        <v>1</v>
      </c>
      <c r="F46" s="94" t="s">
        <v>35</v>
      </c>
    </row>
    <row r="47" spans="3:14" x14ac:dyDescent="0.3">
      <c r="C47" t="s">
        <v>78</v>
      </c>
      <c r="D47">
        <v>52</v>
      </c>
      <c r="E47" s="20">
        <v>0.3</v>
      </c>
      <c r="F47" s="94" t="s">
        <v>84</v>
      </c>
      <c r="G47" s="20">
        <f>E47*E46</f>
        <v>0.3</v>
      </c>
      <c r="H47" s="20">
        <f>E46*E47*D47</f>
        <v>15.6</v>
      </c>
      <c r="L47" s="20">
        <v>495</v>
      </c>
    </row>
    <row r="48" spans="3:14" x14ac:dyDescent="0.3">
      <c r="C48" t="s">
        <v>0</v>
      </c>
      <c r="E48" s="20">
        <f>1/0.45*0.06*0.16*525*1.12*1.18</f>
        <v>14.801919999999999</v>
      </c>
      <c r="F48" s="94" t="s">
        <v>82</v>
      </c>
      <c r="H48" s="20">
        <f>E46*E48</f>
        <v>14.801919999999999</v>
      </c>
    </row>
    <row r="49" spans="3:23" x14ac:dyDescent="0.3">
      <c r="C49" t="s">
        <v>80</v>
      </c>
      <c r="E49" s="20">
        <v>2</v>
      </c>
      <c r="F49" s="94" t="s">
        <v>82</v>
      </c>
      <c r="H49" s="20">
        <f>E47*E49</f>
        <v>0.6</v>
      </c>
    </row>
    <row r="50" spans="3:23" x14ac:dyDescent="0.3">
      <c r="M50" s="20">
        <f>SUM(H47:H49)</f>
        <v>31.001919999999998</v>
      </c>
      <c r="N50">
        <v>33</v>
      </c>
    </row>
    <row r="53" spans="3:23" x14ac:dyDescent="0.3">
      <c r="C53" t="s">
        <v>95</v>
      </c>
      <c r="E53" s="20">
        <f>E33</f>
        <v>1</v>
      </c>
      <c r="F53" s="94" t="s">
        <v>35</v>
      </c>
      <c r="P53" s="69"/>
      <c r="Q53" s="69"/>
      <c r="R53" s="1"/>
      <c r="S53" s="1"/>
      <c r="T53" s="7"/>
      <c r="U53" s="35"/>
      <c r="V53" s="15"/>
      <c r="W53" s="1"/>
    </row>
    <row r="54" spans="3:23" x14ac:dyDescent="0.3">
      <c r="C54" t="s">
        <v>78</v>
      </c>
      <c r="D54">
        <v>52</v>
      </c>
      <c r="E54" s="20">
        <v>0.2</v>
      </c>
      <c r="F54" s="94" t="s">
        <v>84</v>
      </c>
      <c r="G54" s="20">
        <f>E54*E53</f>
        <v>0.2</v>
      </c>
      <c r="H54" s="20">
        <f>E53*E54*D54</f>
        <v>10.4</v>
      </c>
      <c r="P54" s="8"/>
      <c r="Q54" s="8"/>
      <c r="R54" s="1"/>
      <c r="S54" s="1"/>
      <c r="T54" s="1"/>
      <c r="U54" s="15"/>
      <c r="V54" s="1"/>
      <c r="W54" s="1"/>
    </row>
    <row r="55" spans="3:23" x14ac:dyDescent="0.3">
      <c r="C55" t="s">
        <v>0</v>
      </c>
      <c r="E55" s="20">
        <f>12.3*1.12*0.95</f>
        <v>13.087200000000001</v>
      </c>
      <c r="F55" s="94" t="s">
        <v>82</v>
      </c>
      <c r="H55" s="20">
        <f>E53*E55</f>
        <v>13.087200000000001</v>
      </c>
      <c r="P55" s="1"/>
      <c r="Q55" s="1"/>
      <c r="R55" s="1"/>
      <c r="S55" s="1"/>
      <c r="T55" s="1"/>
      <c r="U55" s="1"/>
      <c r="V55" s="1"/>
      <c r="W55" s="1"/>
    </row>
    <row r="56" spans="3:23" x14ac:dyDescent="0.3">
      <c r="C56" t="s">
        <v>80</v>
      </c>
      <c r="E56" s="20">
        <v>0.15</v>
      </c>
      <c r="F56" s="94" t="s">
        <v>82</v>
      </c>
      <c r="H56" s="20">
        <f>E54*E56</f>
        <v>0.03</v>
      </c>
      <c r="P56" s="1"/>
      <c r="Q56" s="1"/>
      <c r="R56" s="1"/>
      <c r="S56" s="1"/>
      <c r="T56" s="1"/>
      <c r="U56" s="1"/>
      <c r="V56" s="1"/>
      <c r="W56" s="1"/>
    </row>
    <row r="57" spans="3:23" x14ac:dyDescent="0.3">
      <c r="M57" s="20">
        <f>SUM(H54:H56)</f>
        <v>23.517200000000003</v>
      </c>
      <c r="N57">
        <v>22.26</v>
      </c>
      <c r="P57" s="1"/>
      <c r="Q57" s="1"/>
      <c r="R57" s="1"/>
      <c r="S57" s="1"/>
      <c r="T57" s="1"/>
      <c r="U57" s="1"/>
      <c r="V57" s="1"/>
      <c r="W57" s="1"/>
    </row>
    <row r="58" spans="3:23" x14ac:dyDescent="0.3">
      <c r="P58" s="1"/>
      <c r="Q58" s="1"/>
      <c r="R58" s="1"/>
      <c r="S58" s="1"/>
      <c r="T58" s="1"/>
      <c r="U58" s="1"/>
      <c r="V58" s="1"/>
      <c r="W58" s="1"/>
    </row>
    <row r="59" spans="3:23" x14ac:dyDescent="0.3">
      <c r="P59" s="1"/>
      <c r="Q59" s="1"/>
      <c r="R59" s="1"/>
      <c r="S59" s="1"/>
      <c r="T59" s="1"/>
      <c r="U59" s="1"/>
      <c r="V59" s="1"/>
      <c r="W59" s="1"/>
    </row>
    <row r="60" spans="3:23" x14ac:dyDescent="0.3">
      <c r="C60" t="s">
        <v>96</v>
      </c>
      <c r="E60" s="20">
        <f>E33</f>
        <v>1</v>
      </c>
      <c r="F60" s="94" t="s">
        <v>35</v>
      </c>
      <c r="P60" s="1"/>
      <c r="Q60" s="1"/>
      <c r="R60" s="1"/>
      <c r="S60" s="1"/>
      <c r="T60" s="1"/>
      <c r="U60" s="1"/>
      <c r="V60" s="1"/>
      <c r="W60" s="1"/>
    </row>
    <row r="61" spans="3:23" x14ac:dyDescent="0.3">
      <c r="C61" t="s">
        <v>78</v>
      </c>
      <c r="D61">
        <v>52</v>
      </c>
      <c r="E61" s="20">
        <v>0.2</v>
      </c>
      <c r="F61" s="94" t="s">
        <v>84</v>
      </c>
      <c r="G61" s="20">
        <f>E61*E60</f>
        <v>0.2</v>
      </c>
      <c r="H61" s="20">
        <f>E60*E61*D61</f>
        <v>10.4</v>
      </c>
      <c r="P61" s="1"/>
      <c r="Q61" s="1"/>
      <c r="R61" s="1"/>
      <c r="S61" s="1"/>
      <c r="T61" s="1"/>
      <c r="U61" s="1"/>
      <c r="V61" s="1"/>
      <c r="W61" s="1"/>
    </row>
    <row r="62" spans="3:23" x14ac:dyDescent="0.3">
      <c r="C62" t="s">
        <v>80</v>
      </c>
      <c r="E62" s="20">
        <v>3</v>
      </c>
      <c r="F62" s="94" t="s">
        <v>82</v>
      </c>
      <c r="H62" s="20">
        <v>3</v>
      </c>
    </row>
    <row r="63" spans="3:23" x14ac:dyDescent="0.3">
      <c r="M63" s="20">
        <f>SUM(H61:H62)</f>
        <v>13.4</v>
      </c>
    </row>
    <row r="67" spans="1:15" x14ac:dyDescent="0.3">
      <c r="C67" t="s">
        <v>33</v>
      </c>
      <c r="E67" s="20">
        <f>E33</f>
        <v>1</v>
      </c>
      <c r="F67" s="94" t="s">
        <v>35</v>
      </c>
    </row>
    <row r="68" spans="1:15" x14ac:dyDescent="0.3">
      <c r="C68" t="s">
        <v>78</v>
      </c>
      <c r="D68">
        <v>52</v>
      </c>
      <c r="E68" s="20">
        <v>0.3</v>
      </c>
      <c r="F68" s="94" t="s">
        <v>84</v>
      </c>
      <c r="G68" s="20">
        <f>E67*E68</f>
        <v>0.3</v>
      </c>
      <c r="H68" s="20">
        <f>E67*E68*D68</f>
        <v>15.6</v>
      </c>
    </row>
    <row r="69" spans="1:15" x14ac:dyDescent="0.3">
      <c r="C69" t="s">
        <v>85</v>
      </c>
      <c r="E69" s="20">
        <v>1.6</v>
      </c>
      <c r="F69" s="94" t="s">
        <v>82</v>
      </c>
      <c r="H69" s="20">
        <f>E69*E67</f>
        <v>1.6</v>
      </c>
    </row>
    <row r="71" spans="1:15" x14ac:dyDescent="0.3">
      <c r="K71" s="20">
        <f>SUM(H68:H70)/E67</f>
        <v>17.2</v>
      </c>
      <c r="L71" s="20" t="s">
        <v>82</v>
      </c>
      <c r="M71" s="20">
        <f>E67*K71</f>
        <v>17.2</v>
      </c>
      <c r="N71" t="s">
        <v>83</v>
      </c>
    </row>
    <row r="73" spans="1:15" x14ac:dyDescent="0.3">
      <c r="A73" s="92"/>
      <c r="C73" s="23"/>
      <c r="D73" s="23"/>
      <c r="E73" s="89"/>
      <c r="F73" s="97"/>
      <c r="G73" s="24">
        <f>SUM(G34:G72)</f>
        <v>1.4</v>
      </c>
      <c r="H73" s="89">
        <f>SUM(H34:H72)</f>
        <v>131.53829500000001</v>
      </c>
      <c r="I73" s="89"/>
      <c r="J73" s="89"/>
      <c r="K73" s="89"/>
      <c r="L73" s="89"/>
      <c r="M73" s="89">
        <f>SUM(M33:M72)</f>
        <v>131.53829500000001</v>
      </c>
      <c r="N73" s="26" t="s">
        <v>82</v>
      </c>
      <c r="O73" s="20"/>
    </row>
    <row r="75" spans="1:15" x14ac:dyDescent="0.3">
      <c r="H75" s="20">
        <f>H68+H61+H54+H47+H41+H34</f>
        <v>72.8</v>
      </c>
    </row>
    <row r="76" spans="1:15" x14ac:dyDescent="0.3">
      <c r="H76" s="20">
        <f>H69+H62+H56+H55+H49+H48+H43+H42+H36+H35</f>
        <v>58.738295000000001</v>
      </c>
      <c r="N76">
        <f>M37*2+M50+M57+M71</f>
        <v>108.03512000000001</v>
      </c>
    </row>
    <row r="77" spans="1:15" x14ac:dyDescent="0.3">
      <c r="N77" s="20">
        <f>M71+M50+M37-7.73+3.1*1.15</f>
        <v>62.194919999999996</v>
      </c>
    </row>
    <row r="82" spans="9:11" x14ac:dyDescent="0.3">
      <c r="I82" s="20" t="s">
        <v>367</v>
      </c>
      <c r="J82" s="20" t="s">
        <v>469</v>
      </c>
      <c r="K82" s="20">
        <v>15.5</v>
      </c>
    </row>
    <row r="83" spans="9:11" x14ac:dyDescent="0.3">
      <c r="I83" s="20">
        <v>19</v>
      </c>
      <c r="J83" s="20" t="s">
        <v>470</v>
      </c>
      <c r="K83" s="20">
        <v>19.8</v>
      </c>
    </row>
    <row r="84" spans="9:11" x14ac:dyDescent="0.3">
      <c r="I84" s="20" t="s">
        <v>471</v>
      </c>
      <c r="J84" s="20" t="s">
        <v>469</v>
      </c>
      <c r="K84" s="20">
        <v>18.899999999999999</v>
      </c>
    </row>
    <row r="86" spans="9:11" x14ac:dyDescent="0.3">
      <c r="I86" s="20" t="s">
        <v>472</v>
      </c>
      <c r="K86" s="20">
        <v>12.9</v>
      </c>
    </row>
    <row r="87" spans="9:11" x14ac:dyDescent="0.3">
      <c r="I87" s="20" t="s">
        <v>473</v>
      </c>
      <c r="K87" s="20">
        <v>265</v>
      </c>
    </row>
    <row r="88" spans="9:11" x14ac:dyDescent="0.3">
      <c r="I88" s="20" t="s">
        <v>474</v>
      </c>
      <c r="K88" s="20">
        <v>0.65</v>
      </c>
    </row>
    <row r="89" spans="9:11" x14ac:dyDescent="0.3">
      <c r="I89" s="20" t="s">
        <v>475</v>
      </c>
      <c r="K89" s="20">
        <v>1.35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2"/>
  <sheetViews>
    <sheetView zoomScaleNormal="100" workbookViewId="0">
      <selection activeCell="G14" sqref="G14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4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4" x14ac:dyDescent="0.25">
      <c r="C2" s="48" t="s">
        <v>231</v>
      </c>
      <c r="G2" s="83"/>
      <c r="H2" s="83"/>
    </row>
    <row r="3" spans="1:14" ht="15.75" x14ac:dyDescent="0.3">
      <c r="A3" s="43"/>
      <c r="B3" s="43" t="s">
        <v>35</v>
      </c>
      <c r="C3" s="36" t="s">
        <v>195</v>
      </c>
      <c r="D3" s="45">
        <f>G3+H3</f>
        <v>11.08</v>
      </c>
      <c r="E3" s="45">
        <f>D3*A3</f>
        <v>0</v>
      </c>
      <c r="F3" s="98">
        <f>(G3*A3)/50</f>
        <v>0</v>
      </c>
      <c r="G3" s="85">
        <f>0.1*52</f>
        <v>5.2</v>
      </c>
      <c r="H3" s="85">
        <f>2.5*1.35*1.12+2+0.1</f>
        <v>5.88</v>
      </c>
      <c r="I3" s="20"/>
      <c r="J3" s="20"/>
      <c r="K3" s="20"/>
      <c r="L3" s="20"/>
      <c r="M3" s="20"/>
      <c r="N3" s="20"/>
    </row>
    <row r="4" spans="1:14" ht="15.75" x14ac:dyDescent="0.3">
      <c r="A4" s="43"/>
      <c r="B4" s="43" t="s">
        <v>35</v>
      </c>
      <c r="C4" s="36" t="s">
        <v>196</v>
      </c>
      <c r="D4" s="45">
        <f t="shared" ref="D4:D13" si="0">G4+H4</f>
        <v>13.0128</v>
      </c>
      <c r="E4" s="45">
        <f>D4*A4</f>
        <v>0</v>
      </c>
      <c r="F4" s="98">
        <f t="shared" ref="F4:F13" si="1">(G4*A4)/50</f>
        <v>0</v>
      </c>
      <c r="G4" s="85">
        <f>0.2*52</f>
        <v>10.4</v>
      </c>
      <c r="H4" s="85">
        <f>1/0.55*0.05*0.04*330*1.12*1.2+1</f>
        <v>2.6128</v>
      </c>
      <c r="L4" s="19"/>
    </row>
    <row r="5" spans="1:14" ht="15.75" x14ac:dyDescent="0.3">
      <c r="A5" s="43"/>
      <c r="B5" s="49" t="s">
        <v>35</v>
      </c>
      <c r="C5" s="49" t="s">
        <v>233</v>
      </c>
      <c r="D5" s="45">
        <f t="shared" si="0"/>
        <v>22.812799999999999</v>
      </c>
      <c r="E5" s="45">
        <f>D5*A5</f>
        <v>0</v>
      </c>
      <c r="F5" s="98">
        <f t="shared" si="1"/>
        <v>0</v>
      </c>
      <c r="G5" s="85">
        <f>0.35*52</f>
        <v>18.2</v>
      </c>
      <c r="H5" s="85">
        <f>1/0.55*0.05*0.04*330*1.12*1.2+3</f>
        <v>4.6128</v>
      </c>
      <c r="L5" s="19"/>
    </row>
    <row r="6" spans="1:14" ht="15.75" x14ac:dyDescent="0.3">
      <c r="A6" s="43"/>
      <c r="B6" s="43" t="s">
        <v>35</v>
      </c>
      <c r="C6" s="36" t="s">
        <v>197</v>
      </c>
      <c r="D6" s="45">
        <f t="shared" si="0"/>
        <v>107.73</v>
      </c>
      <c r="E6" s="45">
        <f t="shared" ref="E6:E7" si="2">D6*A6</f>
        <v>0</v>
      </c>
      <c r="F6" s="98">
        <f t="shared" si="1"/>
        <v>0</v>
      </c>
      <c r="G6" s="85">
        <f>1.2*52</f>
        <v>62.4</v>
      </c>
      <c r="H6" s="85">
        <f>35*1.15*1.12+0.25</f>
        <v>45.330000000000005</v>
      </c>
      <c r="L6" s="19"/>
    </row>
    <row r="7" spans="1:14" ht="15.75" x14ac:dyDescent="0.3">
      <c r="A7" s="43"/>
      <c r="B7" s="46" t="s">
        <v>35</v>
      </c>
      <c r="C7" s="36" t="s">
        <v>232</v>
      </c>
      <c r="D7" s="45">
        <f t="shared" si="0"/>
        <v>98.713999999999999</v>
      </c>
      <c r="E7" s="45">
        <f t="shared" si="2"/>
        <v>0</v>
      </c>
      <c r="F7" s="98">
        <f t="shared" si="1"/>
        <v>0</v>
      </c>
      <c r="G7" s="85">
        <f>1.2*52</f>
        <v>62.4</v>
      </c>
      <c r="H7" s="85">
        <f>28*1.15*1.12+0.25</f>
        <v>36.314</v>
      </c>
      <c r="L7" s="19"/>
    </row>
    <row r="8" spans="1:14" ht="15.75" x14ac:dyDescent="0.3">
      <c r="A8" s="43"/>
      <c r="B8" s="46" t="s">
        <v>35</v>
      </c>
      <c r="C8" s="36" t="s">
        <v>285</v>
      </c>
      <c r="D8" s="45">
        <f t="shared" ref="D8" si="3">G8+H8</f>
        <v>81.813199999999995</v>
      </c>
      <c r="E8" s="45">
        <f t="shared" ref="E8:E13" si="4">D8*A8</f>
        <v>0</v>
      </c>
      <c r="F8" s="98">
        <f t="shared" ref="F8" si="5">(G8*A8)/50</f>
        <v>0</v>
      </c>
      <c r="G8" s="85">
        <f>1.2*52</f>
        <v>62.4</v>
      </c>
      <c r="H8" s="85">
        <f>14.5*1.18*1.12+0.25</f>
        <v>19.4132</v>
      </c>
      <c r="L8" s="19"/>
    </row>
    <row r="9" spans="1:14" ht="15.75" x14ac:dyDescent="0.3">
      <c r="A9" s="43"/>
      <c r="B9" s="43" t="s">
        <v>24</v>
      </c>
      <c r="C9" s="36" t="s">
        <v>287</v>
      </c>
      <c r="D9" s="45">
        <f t="shared" si="0"/>
        <v>49.358400000000003</v>
      </c>
      <c r="E9" s="45">
        <f t="shared" si="4"/>
        <v>0</v>
      </c>
      <c r="F9" s="98">
        <f t="shared" si="1"/>
        <v>0</v>
      </c>
      <c r="G9" s="85">
        <f>0.75*52</f>
        <v>39</v>
      </c>
      <c r="H9" s="85">
        <f>0.25*0.03*730*1.12*1.2+3</f>
        <v>10.3584</v>
      </c>
      <c r="L9" s="19"/>
    </row>
    <row r="10" spans="1:14" ht="15.75" x14ac:dyDescent="0.3">
      <c r="A10" s="43"/>
      <c r="B10" s="43" t="s">
        <v>35</v>
      </c>
      <c r="C10" s="36" t="s">
        <v>198</v>
      </c>
      <c r="D10" s="45">
        <f t="shared" si="0"/>
        <v>260.43200000000002</v>
      </c>
      <c r="E10" s="45">
        <f t="shared" si="4"/>
        <v>0</v>
      </c>
      <c r="F10" s="98">
        <f t="shared" si="1"/>
        <v>0</v>
      </c>
      <c r="G10" s="85">
        <f>4.5*52</f>
        <v>234</v>
      </c>
      <c r="H10" s="85">
        <f>20*1.18*1.12</f>
        <v>26.431999999999999</v>
      </c>
      <c r="L10" s="19"/>
    </row>
    <row r="11" spans="1:14" ht="15.75" x14ac:dyDescent="0.3">
      <c r="A11" s="43"/>
      <c r="B11" s="43" t="s">
        <v>24</v>
      </c>
      <c r="C11" s="36" t="s">
        <v>286</v>
      </c>
      <c r="D11" s="45">
        <f t="shared" si="0"/>
        <v>62.064000000000007</v>
      </c>
      <c r="E11" s="45">
        <f t="shared" si="4"/>
        <v>0</v>
      </c>
      <c r="F11" s="98">
        <f t="shared" si="1"/>
        <v>0</v>
      </c>
      <c r="G11" s="85">
        <f>0.9*52</f>
        <v>46.800000000000004</v>
      </c>
      <c r="H11" s="85">
        <f>0.25*0.05*730*1.12*1.2+3</f>
        <v>15.264000000000001</v>
      </c>
      <c r="L11" s="19"/>
    </row>
    <row r="12" spans="1:14" ht="15.75" x14ac:dyDescent="0.3">
      <c r="A12" s="43"/>
      <c r="B12" s="43" t="s">
        <v>24</v>
      </c>
      <c r="C12" s="36" t="s">
        <v>199</v>
      </c>
      <c r="D12" s="45">
        <f t="shared" si="0"/>
        <v>9.56128</v>
      </c>
      <c r="E12" s="45">
        <f t="shared" si="4"/>
        <v>0</v>
      </c>
      <c r="F12" s="98">
        <f t="shared" si="1"/>
        <v>0</v>
      </c>
      <c r="G12" s="85">
        <f>0.1*52</f>
        <v>5.2</v>
      </c>
      <c r="H12" s="85">
        <f>0.15*1.12*1.18*22</f>
        <v>4.3612799999999998</v>
      </c>
      <c r="L12" s="19"/>
    </row>
    <row r="13" spans="1:14" ht="15.75" x14ac:dyDescent="0.3">
      <c r="A13" s="43"/>
      <c r="B13" s="46" t="s">
        <v>24</v>
      </c>
      <c r="C13" s="39" t="s">
        <v>207</v>
      </c>
      <c r="D13" s="45">
        <f t="shared" si="0"/>
        <v>20.8</v>
      </c>
      <c r="E13" s="45">
        <f t="shared" si="4"/>
        <v>0</v>
      </c>
      <c r="F13" s="98">
        <f t="shared" si="1"/>
        <v>0</v>
      </c>
      <c r="G13" s="85">
        <f>0.4*52</f>
        <v>20.8</v>
      </c>
      <c r="H13" s="85">
        <v>0</v>
      </c>
      <c r="L13" s="19"/>
    </row>
    <row r="14" spans="1:14" x14ac:dyDescent="0.25">
      <c r="L14" s="19"/>
    </row>
    <row r="15" spans="1:14" x14ac:dyDescent="0.25">
      <c r="L15" s="19"/>
    </row>
    <row r="16" spans="1:14" x14ac:dyDescent="0.25">
      <c r="D16" s="20"/>
      <c r="L16" s="19"/>
    </row>
    <row r="17" spans="2:24" ht="15.75" x14ac:dyDescent="0.3">
      <c r="B17" s="1"/>
      <c r="C17" s="1"/>
      <c r="D17" s="2"/>
      <c r="E17" s="1"/>
      <c r="F17" s="1"/>
      <c r="G17" s="1"/>
      <c r="H17" s="7"/>
      <c r="I17" s="7"/>
      <c r="J17" s="7"/>
      <c r="K17" s="7"/>
      <c r="L17" s="142"/>
      <c r="M17" s="142"/>
      <c r="N17" s="142"/>
      <c r="O17" s="7"/>
      <c r="P17" s="142"/>
      <c r="Q17" s="142"/>
      <c r="R17" s="142"/>
      <c r="S17" s="1"/>
      <c r="T17" s="1"/>
      <c r="U17" s="7"/>
      <c r="V17" s="35"/>
      <c r="W17" s="15"/>
      <c r="X17" s="1"/>
    </row>
    <row r="18" spans="2:24" ht="15.75" x14ac:dyDescent="0.3">
      <c r="B18" s="1"/>
      <c r="C18" s="1"/>
      <c r="D18" s="2"/>
      <c r="E18" s="1"/>
      <c r="F18" s="1"/>
      <c r="G18" s="1"/>
      <c r="H18" s="1"/>
      <c r="I18" s="1"/>
      <c r="J18" s="1"/>
      <c r="K18" s="1"/>
      <c r="L18" s="5"/>
      <c r="M18" s="5"/>
      <c r="N18" s="5"/>
      <c r="O18" s="1"/>
      <c r="P18" s="8"/>
      <c r="Q18" s="143"/>
      <c r="R18" s="143"/>
      <c r="S18" s="1"/>
      <c r="T18" s="1"/>
      <c r="U18" s="1"/>
      <c r="V18" s="15"/>
      <c r="W18" s="1"/>
      <c r="X18" s="1"/>
    </row>
    <row r="19" spans="2:24" ht="15.75" x14ac:dyDescent="0.3"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ht="15.75" x14ac:dyDescent="0.3"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ht="15.75" x14ac:dyDescent="0.3"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5.75" x14ac:dyDescent="0.3"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ht="15.75" x14ac:dyDescent="0.3"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 ht="15.75" x14ac:dyDescent="0.3"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 ht="15.75" x14ac:dyDescent="0.3"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7" spans="2:24" x14ac:dyDescent="0.25">
      <c r="L27" s="19"/>
    </row>
    <row r="28" spans="2:24" x14ac:dyDescent="0.25">
      <c r="D28" s="20"/>
      <c r="L28" s="19"/>
    </row>
    <row r="29" spans="2:24" x14ac:dyDescent="0.25">
      <c r="D29" s="20"/>
      <c r="L29" s="19"/>
    </row>
    <row r="30" spans="2:24" x14ac:dyDescent="0.25">
      <c r="L30" s="19"/>
    </row>
    <row r="31" spans="2:24" x14ac:dyDescent="0.25">
      <c r="L31" s="19"/>
    </row>
    <row r="32" spans="2:24" x14ac:dyDescent="0.25">
      <c r="L32" s="19"/>
    </row>
    <row r="33" spans="4:14" x14ac:dyDescent="0.25">
      <c r="L33" s="19"/>
    </row>
    <row r="34" spans="4:14" x14ac:dyDescent="0.25">
      <c r="L34" s="19"/>
    </row>
    <row r="35" spans="4:14" x14ac:dyDescent="0.25">
      <c r="D35" s="20"/>
      <c r="L35" s="19"/>
    </row>
    <row r="36" spans="4:14" x14ac:dyDescent="0.25">
      <c r="L36" s="19"/>
    </row>
    <row r="37" spans="4:14" x14ac:dyDescent="0.25">
      <c r="L37" s="19"/>
    </row>
    <row r="38" spans="4:14" x14ac:dyDescent="0.25">
      <c r="L38" s="19"/>
    </row>
    <row r="39" spans="4:14" x14ac:dyDescent="0.25">
      <c r="L39" s="19"/>
    </row>
    <row r="40" spans="4:14" x14ac:dyDescent="0.25">
      <c r="J40" s="20"/>
      <c r="L40" s="19"/>
    </row>
    <row r="41" spans="4:14" x14ac:dyDescent="0.25">
      <c r="L41" s="19"/>
    </row>
    <row r="42" spans="4:14" x14ac:dyDescent="0.25">
      <c r="L42" s="19"/>
    </row>
    <row r="43" spans="4:14" x14ac:dyDescent="0.25">
      <c r="L43" s="19"/>
    </row>
    <row r="44" spans="4:14" x14ac:dyDescent="0.25">
      <c r="D44" s="20"/>
      <c r="G44" s="20"/>
      <c r="L44" s="19"/>
    </row>
    <row r="45" spans="4:14" x14ac:dyDescent="0.25">
      <c r="J45" s="20"/>
      <c r="L45" s="19"/>
    </row>
    <row r="46" spans="4:14" x14ac:dyDescent="0.25">
      <c r="L46" s="19"/>
    </row>
    <row r="47" spans="4:14" x14ac:dyDescent="0.25">
      <c r="F47" s="33"/>
      <c r="G47" s="34"/>
      <c r="L47" s="19"/>
      <c r="N47" s="20"/>
    </row>
    <row r="51" spans="1:23" ht="15.75" x14ac:dyDescent="0.3">
      <c r="E51" s="1"/>
      <c r="F51" s="1"/>
      <c r="G51" s="1"/>
      <c r="H51" s="1"/>
      <c r="I51" s="1"/>
      <c r="J51" s="1"/>
      <c r="K51" s="1"/>
      <c r="L51" s="1"/>
      <c r="M51" s="1"/>
    </row>
    <row r="53" spans="1:23" ht="15.75" x14ac:dyDescent="0.3">
      <c r="A53" s="1"/>
      <c r="B53" s="1"/>
      <c r="C53" s="2"/>
      <c r="D53" s="1"/>
      <c r="E53" s="1"/>
      <c r="F53" s="1"/>
      <c r="G53" s="7"/>
      <c r="H53" s="7"/>
      <c r="I53" s="7"/>
      <c r="J53" s="7"/>
      <c r="K53" s="142"/>
      <c r="L53" s="142"/>
      <c r="M53" s="142"/>
      <c r="N53" s="7"/>
      <c r="O53" s="142"/>
      <c r="P53" s="142"/>
      <c r="Q53" s="142"/>
      <c r="R53" s="1"/>
      <c r="S53" s="1"/>
      <c r="T53" s="7"/>
      <c r="U53" s="35"/>
      <c r="V53" s="15"/>
      <c r="W53" s="1"/>
    </row>
    <row r="54" spans="1:23" ht="15.7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5"/>
      <c r="L54" s="5"/>
      <c r="M54" s="5"/>
      <c r="N54" s="1"/>
      <c r="O54" s="8"/>
      <c r="P54" s="143"/>
      <c r="Q54" s="143"/>
      <c r="R54" s="1"/>
      <c r="S54" s="1"/>
      <c r="T54" s="1"/>
      <c r="U54" s="15"/>
      <c r="V54" s="1"/>
      <c r="W54" s="1"/>
    </row>
    <row r="55" spans="1:23" ht="15.7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3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3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3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3">
      <c r="A62" s="1"/>
    </row>
  </sheetData>
  <mergeCells count="6">
    <mergeCell ref="K53:M53"/>
    <mergeCell ref="O53:Q53"/>
    <mergeCell ref="P54:Q54"/>
    <mergeCell ref="L17:N17"/>
    <mergeCell ref="P17:R17"/>
    <mergeCell ref="Q18:R18"/>
  </mergeCells>
  <phoneticPr fontId="2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8"/>
  <sheetViews>
    <sheetView zoomScaleNormal="100" workbookViewId="0">
      <selection activeCell="B32" sqref="B32:F32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4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4" ht="15.75" x14ac:dyDescent="0.3">
      <c r="C2" s="48" t="s">
        <v>191</v>
      </c>
      <c r="F2" s="91"/>
      <c r="G2" s="83"/>
      <c r="H2" s="83"/>
    </row>
    <row r="3" spans="1:14" ht="15.75" x14ac:dyDescent="0.3">
      <c r="B3" s="46" t="s">
        <v>150</v>
      </c>
      <c r="C3" s="47" t="s">
        <v>170</v>
      </c>
      <c r="D3" s="45">
        <f>1.26*1.12</f>
        <v>1.4112000000000002</v>
      </c>
      <c r="E3" s="45">
        <f>D3*A3</f>
        <v>0</v>
      </c>
      <c r="F3" s="91">
        <f t="shared" ref="F3:F33" si="0">G3/50*A3</f>
        <v>0</v>
      </c>
      <c r="G3" s="85"/>
      <c r="H3" s="85"/>
      <c r="I3" s="20"/>
      <c r="J3" s="20"/>
      <c r="K3" s="20"/>
      <c r="L3" s="20"/>
      <c r="M3" s="20"/>
      <c r="N3" s="20"/>
    </row>
    <row r="4" spans="1:14" ht="15.75" x14ac:dyDescent="0.3">
      <c r="B4" s="46" t="s">
        <v>150</v>
      </c>
      <c r="C4" s="47" t="s">
        <v>171</v>
      </c>
      <c r="D4" s="45">
        <f>12.17*1.12</f>
        <v>13.630400000000002</v>
      </c>
      <c r="E4" s="45">
        <f t="shared" ref="E4:E33" si="1">D4*A4</f>
        <v>0</v>
      </c>
      <c r="F4" s="91">
        <f t="shared" si="0"/>
        <v>0</v>
      </c>
      <c r="G4" s="85"/>
      <c r="H4" s="85"/>
      <c r="L4" s="19"/>
    </row>
    <row r="5" spans="1:14" ht="15.75" x14ac:dyDescent="0.3">
      <c r="B5" s="46" t="s">
        <v>150</v>
      </c>
      <c r="C5" s="47" t="s">
        <v>172</v>
      </c>
      <c r="D5" s="45">
        <f>14.62*1.12</f>
        <v>16.374400000000001</v>
      </c>
      <c r="E5" s="45">
        <f t="shared" si="1"/>
        <v>0</v>
      </c>
      <c r="F5" s="91">
        <f t="shared" si="0"/>
        <v>0</v>
      </c>
      <c r="G5" s="85"/>
      <c r="H5" s="85"/>
      <c r="L5" s="19"/>
    </row>
    <row r="6" spans="1:14" ht="15.75" x14ac:dyDescent="0.3">
      <c r="B6" s="46" t="s">
        <v>150</v>
      </c>
      <c r="C6" s="47" t="s">
        <v>173</v>
      </c>
      <c r="D6" s="45">
        <f>0.72*1.12</f>
        <v>0.80640000000000001</v>
      </c>
      <c r="E6" s="45">
        <f t="shared" si="1"/>
        <v>0</v>
      </c>
      <c r="F6" s="91">
        <f t="shared" si="0"/>
        <v>0</v>
      </c>
      <c r="G6" s="85"/>
      <c r="H6" s="85"/>
      <c r="L6" s="19"/>
    </row>
    <row r="7" spans="1:14" ht="15.75" x14ac:dyDescent="0.3">
      <c r="B7" s="46" t="s">
        <v>174</v>
      </c>
      <c r="C7" s="47" t="s">
        <v>175</v>
      </c>
      <c r="D7" s="45">
        <f>24.6*1.12</f>
        <v>27.552000000000003</v>
      </c>
      <c r="E7" s="45">
        <f t="shared" si="1"/>
        <v>0</v>
      </c>
      <c r="F7" s="91">
        <f t="shared" si="0"/>
        <v>0</v>
      </c>
      <c r="G7" s="85"/>
      <c r="H7" s="85"/>
      <c r="L7" s="19"/>
    </row>
    <row r="8" spans="1:14" ht="15.75" x14ac:dyDescent="0.3">
      <c r="B8" s="46" t="s">
        <v>150</v>
      </c>
      <c r="C8" s="47" t="s">
        <v>176</v>
      </c>
      <c r="D8" s="45">
        <f>12.04*1.12</f>
        <v>13.4848</v>
      </c>
      <c r="E8" s="45">
        <f t="shared" si="1"/>
        <v>0</v>
      </c>
      <c r="F8" s="91">
        <f t="shared" si="0"/>
        <v>0</v>
      </c>
      <c r="G8" s="85"/>
      <c r="H8" s="85"/>
      <c r="L8" s="19"/>
    </row>
    <row r="9" spans="1:14" ht="15.75" x14ac:dyDescent="0.3">
      <c r="B9" s="46" t="s">
        <v>150</v>
      </c>
      <c r="C9" s="47" t="s">
        <v>290</v>
      </c>
      <c r="D9" s="45">
        <f>0.9*1.12</f>
        <v>1.0080000000000002</v>
      </c>
      <c r="E9" s="45">
        <f t="shared" si="1"/>
        <v>0</v>
      </c>
      <c r="F9" s="91">
        <f t="shared" si="0"/>
        <v>0</v>
      </c>
      <c r="G9" s="85"/>
      <c r="H9" s="85"/>
      <c r="L9" s="19"/>
    </row>
    <row r="10" spans="1:14" ht="15.75" x14ac:dyDescent="0.3">
      <c r="B10" s="46" t="s">
        <v>150</v>
      </c>
      <c r="C10" s="47" t="s">
        <v>289</v>
      </c>
      <c r="D10" s="45">
        <f>(91.12*1.12)/250</f>
        <v>0.40821760000000007</v>
      </c>
      <c r="E10" s="45">
        <f t="shared" si="1"/>
        <v>0</v>
      </c>
      <c r="F10" s="91">
        <f t="shared" si="0"/>
        <v>0</v>
      </c>
      <c r="G10" s="85"/>
      <c r="H10" s="85"/>
      <c r="L10" s="19"/>
    </row>
    <row r="11" spans="1:14" ht="15.75" x14ac:dyDescent="0.3">
      <c r="B11" s="46" t="s">
        <v>150</v>
      </c>
      <c r="C11" s="47" t="s">
        <v>288</v>
      </c>
      <c r="D11" s="45">
        <f>(57.96*1.12)/20</f>
        <v>3.2457600000000006</v>
      </c>
      <c r="E11" s="45">
        <f t="shared" si="1"/>
        <v>0</v>
      </c>
      <c r="F11" s="91">
        <f t="shared" si="0"/>
        <v>0</v>
      </c>
      <c r="G11" s="85"/>
      <c r="H11" s="85"/>
      <c r="L11" s="19"/>
    </row>
    <row r="12" spans="1:14" ht="15.75" x14ac:dyDescent="0.3">
      <c r="B12" s="46" t="s">
        <v>122</v>
      </c>
      <c r="C12" s="47" t="s">
        <v>291</v>
      </c>
      <c r="D12" s="45">
        <f>90*1.12</f>
        <v>100.80000000000001</v>
      </c>
      <c r="E12" s="45">
        <f t="shared" si="1"/>
        <v>0</v>
      </c>
      <c r="F12" s="91">
        <f t="shared" si="0"/>
        <v>0</v>
      </c>
      <c r="G12" s="85"/>
      <c r="H12" s="85"/>
      <c r="L12" s="19"/>
    </row>
    <row r="13" spans="1:14" ht="15.75" x14ac:dyDescent="0.3">
      <c r="B13" s="46" t="s">
        <v>122</v>
      </c>
      <c r="C13" s="47" t="s">
        <v>292</v>
      </c>
      <c r="D13" s="45">
        <f>97*1.12</f>
        <v>108.64000000000001</v>
      </c>
      <c r="E13" s="45">
        <f t="shared" si="1"/>
        <v>0</v>
      </c>
      <c r="F13" s="91">
        <f t="shared" si="0"/>
        <v>0</v>
      </c>
      <c r="G13" s="85"/>
      <c r="H13" s="85"/>
      <c r="L13" s="19"/>
    </row>
    <row r="14" spans="1:14" ht="15.75" x14ac:dyDescent="0.3">
      <c r="B14" s="46" t="s">
        <v>122</v>
      </c>
      <c r="C14" s="47" t="s">
        <v>293</v>
      </c>
      <c r="D14" s="45">
        <f>16*11*1.03</f>
        <v>181.28</v>
      </c>
      <c r="E14" s="45">
        <f t="shared" si="1"/>
        <v>0</v>
      </c>
      <c r="F14" s="91">
        <f t="shared" si="0"/>
        <v>0</v>
      </c>
      <c r="G14" s="85"/>
      <c r="H14" s="85"/>
      <c r="L14" s="19"/>
    </row>
    <row r="15" spans="1:14" ht="15.75" x14ac:dyDescent="0.3">
      <c r="B15" s="46" t="s">
        <v>177</v>
      </c>
      <c r="C15" s="47" t="s">
        <v>178</v>
      </c>
      <c r="D15" s="45">
        <v>45</v>
      </c>
      <c r="E15" s="45">
        <f t="shared" si="1"/>
        <v>0</v>
      </c>
      <c r="F15" s="91">
        <f t="shared" si="0"/>
        <v>0</v>
      </c>
      <c r="G15" s="85"/>
      <c r="H15" s="85"/>
      <c r="L15" s="19"/>
    </row>
    <row r="16" spans="1:14" ht="15.75" x14ac:dyDescent="0.3">
      <c r="B16" s="46" t="s">
        <v>150</v>
      </c>
      <c r="C16" s="47" t="s">
        <v>294</v>
      </c>
      <c r="D16" s="45">
        <f>2*1.12</f>
        <v>2.2400000000000002</v>
      </c>
      <c r="E16" s="45">
        <f t="shared" si="1"/>
        <v>0</v>
      </c>
      <c r="F16" s="91">
        <f t="shared" si="0"/>
        <v>0</v>
      </c>
      <c r="G16" s="85"/>
      <c r="H16" s="85"/>
      <c r="L16" s="19"/>
    </row>
    <row r="17" spans="2:12" ht="15.75" x14ac:dyDescent="0.3">
      <c r="B17" s="46"/>
      <c r="C17" s="48" t="s">
        <v>190</v>
      </c>
      <c r="D17" s="45"/>
      <c r="E17" s="45"/>
      <c r="F17" s="91">
        <f t="shared" si="0"/>
        <v>0</v>
      </c>
      <c r="G17" s="85"/>
      <c r="H17" s="85"/>
      <c r="L17" s="19"/>
    </row>
    <row r="18" spans="2:12" ht="15.75" x14ac:dyDescent="0.3">
      <c r="B18" s="46" t="s">
        <v>24</v>
      </c>
      <c r="C18" s="36" t="s">
        <v>179</v>
      </c>
      <c r="D18" s="45">
        <v>25</v>
      </c>
      <c r="E18" s="45">
        <f t="shared" si="1"/>
        <v>0</v>
      </c>
      <c r="F18" s="91">
        <f t="shared" si="0"/>
        <v>0</v>
      </c>
      <c r="G18" s="85"/>
      <c r="H18" s="85"/>
      <c r="L18" s="19"/>
    </row>
    <row r="19" spans="2:12" ht="15.75" x14ac:dyDescent="0.3">
      <c r="B19" s="46" t="s">
        <v>24</v>
      </c>
      <c r="C19" s="36" t="s">
        <v>180</v>
      </c>
      <c r="D19" s="45">
        <v>18</v>
      </c>
      <c r="E19" s="45">
        <f t="shared" si="1"/>
        <v>0</v>
      </c>
      <c r="F19" s="91">
        <f t="shared" si="0"/>
        <v>0</v>
      </c>
      <c r="G19" s="85"/>
      <c r="H19" s="85"/>
      <c r="L19" s="19"/>
    </row>
    <row r="20" spans="2:12" ht="15.75" x14ac:dyDescent="0.3">
      <c r="B20" s="46" t="s">
        <v>24</v>
      </c>
      <c r="C20" s="36" t="s">
        <v>181</v>
      </c>
      <c r="D20" s="45">
        <v>15</v>
      </c>
      <c r="E20" s="45">
        <f t="shared" si="1"/>
        <v>0</v>
      </c>
      <c r="F20" s="91">
        <f t="shared" si="0"/>
        <v>0</v>
      </c>
      <c r="G20" s="85"/>
      <c r="H20" s="85"/>
      <c r="L20" s="19"/>
    </row>
    <row r="21" spans="2:12" ht="15.75" x14ac:dyDescent="0.3">
      <c r="B21" s="46" t="s">
        <v>24</v>
      </c>
      <c r="C21" s="36" t="s">
        <v>182</v>
      </c>
      <c r="D21" s="45">
        <v>39.549999999999997</v>
      </c>
      <c r="E21" s="45">
        <f t="shared" si="1"/>
        <v>0</v>
      </c>
      <c r="F21" s="91">
        <f t="shared" si="0"/>
        <v>0</v>
      </c>
      <c r="G21" s="85"/>
      <c r="H21" s="85"/>
      <c r="L21" s="19"/>
    </row>
    <row r="22" spans="2:12" ht="15.75" x14ac:dyDescent="0.3">
      <c r="B22" s="46" t="s">
        <v>24</v>
      </c>
      <c r="C22" s="36" t="s">
        <v>183</v>
      </c>
      <c r="D22" s="45">
        <v>19.43</v>
      </c>
      <c r="E22" s="45">
        <f t="shared" si="1"/>
        <v>0</v>
      </c>
      <c r="F22" s="91">
        <f t="shared" si="0"/>
        <v>0</v>
      </c>
      <c r="G22" s="85"/>
      <c r="H22" s="85"/>
      <c r="L22" s="19"/>
    </row>
    <row r="23" spans="2:12" ht="15.75" x14ac:dyDescent="0.3">
      <c r="B23" s="46" t="s">
        <v>109</v>
      </c>
      <c r="C23" s="36" t="s">
        <v>184</v>
      </c>
      <c r="D23" s="45">
        <v>36.4</v>
      </c>
      <c r="E23" s="45">
        <f t="shared" si="1"/>
        <v>0</v>
      </c>
      <c r="F23" s="91">
        <f t="shared" si="0"/>
        <v>0</v>
      </c>
      <c r="G23" s="85"/>
      <c r="H23" s="85"/>
      <c r="L23" s="19"/>
    </row>
    <row r="24" spans="2:12" ht="15.75" x14ac:dyDescent="0.3">
      <c r="B24" s="46" t="s">
        <v>109</v>
      </c>
      <c r="C24" s="36" t="s">
        <v>185</v>
      </c>
      <c r="D24" s="45">
        <v>15.75</v>
      </c>
      <c r="E24" s="45">
        <f t="shared" si="1"/>
        <v>0</v>
      </c>
      <c r="F24" s="91">
        <f t="shared" si="0"/>
        <v>0</v>
      </c>
      <c r="G24" s="85"/>
      <c r="H24" s="85"/>
      <c r="L24" s="19"/>
    </row>
    <row r="25" spans="2:12" ht="15.75" x14ac:dyDescent="0.3">
      <c r="B25" s="46" t="s">
        <v>109</v>
      </c>
      <c r="C25" s="36" t="s">
        <v>186</v>
      </c>
      <c r="D25" s="45">
        <v>40</v>
      </c>
      <c r="E25" s="45">
        <f t="shared" si="1"/>
        <v>0</v>
      </c>
      <c r="F25" s="91">
        <f t="shared" si="0"/>
        <v>0</v>
      </c>
      <c r="G25" s="85"/>
      <c r="H25" s="85"/>
      <c r="L25" s="19"/>
    </row>
    <row r="26" spans="2:12" ht="15.75" x14ac:dyDescent="0.3">
      <c r="B26" s="46" t="s">
        <v>24</v>
      </c>
      <c r="C26" s="36" t="s">
        <v>187</v>
      </c>
      <c r="D26" s="45">
        <v>32.32</v>
      </c>
      <c r="E26" s="45">
        <f t="shared" si="1"/>
        <v>0</v>
      </c>
      <c r="F26" s="91">
        <f t="shared" si="0"/>
        <v>0</v>
      </c>
      <c r="G26" s="85"/>
      <c r="H26" s="85"/>
      <c r="L26" s="19"/>
    </row>
    <row r="27" spans="2:12" ht="15.75" x14ac:dyDescent="0.3">
      <c r="B27" s="43" t="s">
        <v>24</v>
      </c>
      <c r="C27" s="36" t="s">
        <v>188</v>
      </c>
      <c r="D27" s="45">
        <v>35.659999999999997</v>
      </c>
      <c r="E27" s="45">
        <f t="shared" si="1"/>
        <v>0</v>
      </c>
      <c r="F27" s="91">
        <f t="shared" si="0"/>
        <v>0</v>
      </c>
      <c r="G27" s="85"/>
      <c r="H27" s="85"/>
      <c r="L27" s="19"/>
    </row>
    <row r="28" spans="2:12" ht="15.75" x14ac:dyDescent="0.3">
      <c r="B28" s="43" t="s">
        <v>109</v>
      </c>
      <c r="C28" s="36" t="s">
        <v>189</v>
      </c>
      <c r="D28" s="45">
        <v>480</v>
      </c>
      <c r="E28" s="45">
        <f t="shared" si="1"/>
        <v>0</v>
      </c>
      <c r="F28" s="91">
        <f t="shared" si="0"/>
        <v>0</v>
      </c>
      <c r="G28" s="85"/>
      <c r="H28" s="85"/>
      <c r="L28" s="19"/>
    </row>
    <row r="29" spans="2:12" ht="15.75" x14ac:dyDescent="0.3">
      <c r="B29" s="43" t="s">
        <v>109</v>
      </c>
      <c r="C29" s="36" t="s">
        <v>189</v>
      </c>
      <c r="D29" s="45">
        <v>600</v>
      </c>
      <c r="E29" s="45">
        <f t="shared" si="1"/>
        <v>0</v>
      </c>
      <c r="F29" s="91">
        <f t="shared" si="0"/>
        <v>0</v>
      </c>
      <c r="G29" s="85"/>
      <c r="H29" s="85"/>
      <c r="L29" s="19"/>
    </row>
    <row r="30" spans="2:12" ht="15.75" x14ac:dyDescent="0.3">
      <c r="B30" s="41" t="s">
        <v>35</v>
      </c>
      <c r="C30" s="51" t="s">
        <v>217</v>
      </c>
      <c r="D30" s="40">
        <f>G30+H30</f>
        <v>53.928000000000011</v>
      </c>
      <c r="E30" s="45">
        <f t="shared" si="1"/>
        <v>0</v>
      </c>
      <c r="F30" s="91">
        <f>G30/50*A30</f>
        <v>0</v>
      </c>
      <c r="G30" s="85">
        <f>0.4*58</f>
        <v>23.200000000000003</v>
      </c>
      <c r="H30" s="85">
        <f>(6+13)*1.35*1.12+2</f>
        <v>30.728000000000005</v>
      </c>
      <c r="L30" s="19"/>
    </row>
    <row r="31" spans="2:12" ht="15.75" x14ac:dyDescent="0.3">
      <c r="B31" s="41" t="s">
        <v>35</v>
      </c>
      <c r="C31" s="51" t="s">
        <v>218</v>
      </c>
      <c r="D31" s="40">
        <f>G31+H31</f>
        <v>34.156000000000006</v>
      </c>
      <c r="E31" s="45">
        <f t="shared" si="1"/>
        <v>0</v>
      </c>
      <c r="F31" s="91">
        <f t="shared" si="0"/>
        <v>0</v>
      </c>
      <c r="G31" s="85">
        <f>0.25*50</f>
        <v>12.5</v>
      </c>
      <c r="H31" s="85">
        <f>(13)*1.35*1.12+2</f>
        <v>21.656000000000002</v>
      </c>
      <c r="L31" s="19"/>
    </row>
    <row r="32" spans="2:12" ht="15.75" x14ac:dyDescent="0.3">
      <c r="B32" s="41" t="s">
        <v>24</v>
      </c>
      <c r="C32" s="51" t="s">
        <v>219</v>
      </c>
      <c r="D32" s="40">
        <v>15</v>
      </c>
      <c r="E32" s="45">
        <f t="shared" si="1"/>
        <v>0</v>
      </c>
      <c r="F32" s="91">
        <f t="shared" si="0"/>
        <v>0</v>
      </c>
      <c r="G32" s="85"/>
      <c r="H32" s="85"/>
      <c r="L32" s="19"/>
    </row>
    <row r="33" spans="2:14" ht="15.75" x14ac:dyDescent="0.3">
      <c r="B33" s="41" t="s">
        <v>24</v>
      </c>
      <c r="C33" s="39" t="s">
        <v>220</v>
      </c>
      <c r="D33" s="40">
        <v>21</v>
      </c>
      <c r="E33" s="45">
        <f t="shared" si="1"/>
        <v>0</v>
      </c>
      <c r="F33" s="91">
        <f t="shared" si="0"/>
        <v>0</v>
      </c>
      <c r="G33" s="85"/>
      <c r="H33" s="85"/>
      <c r="L33" s="19"/>
    </row>
    <row r="34" spans="2:14" x14ac:dyDescent="0.25">
      <c r="L34" s="19"/>
    </row>
    <row r="35" spans="2:14" x14ac:dyDescent="0.25">
      <c r="L35" s="19"/>
    </row>
    <row r="36" spans="2:14" x14ac:dyDescent="0.25">
      <c r="J36" s="20"/>
      <c r="L36" s="19"/>
    </row>
    <row r="37" spans="2:14" x14ac:dyDescent="0.25">
      <c r="L37" s="19"/>
    </row>
    <row r="38" spans="2:14" x14ac:dyDescent="0.25">
      <c r="L38" s="19"/>
    </row>
    <row r="39" spans="2:14" x14ac:dyDescent="0.25">
      <c r="L39" s="19"/>
    </row>
    <row r="40" spans="2:14" x14ac:dyDescent="0.25">
      <c r="D40" s="20"/>
      <c r="G40" s="20"/>
      <c r="L40" s="19"/>
    </row>
    <row r="41" spans="2:14" x14ac:dyDescent="0.25">
      <c r="J41" s="20"/>
      <c r="L41" s="19"/>
    </row>
    <row r="42" spans="2:14" x14ac:dyDescent="0.25">
      <c r="L42" s="19"/>
    </row>
    <row r="43" spans="2:14" x14ac:dyDescent="0.25">
      <c r="F43" s="33"/>
      <c r="G43" s="34"/>
      <c r="L43" s="19"/>
      <c r="N43" s="20"/>
    </row>
    <row r="47" spans="2:14" ht="15.75" x14ac:dyDescent="0.3">
      <c r="E47" s="1"/>
      <c r="F47" s="1"/>
      <c r="G47" s="1"/>
      <c r="H47" s="1"/>
      <c r="I47" s="1"/>
      <c r="J47" s="1"/>
      <c r="K47" s="1"/>
      <c r="L47" s="1"/>
      <c r="M47" s="1"/>
    </row>
    <row r="49" spans="1:23" ht="15.75" x14ac:dyDescent="0.3">
      <c r="A49" s="1"/>
      <c r="B49" s="1"/>
      <c r="C49" s="2"/>
      <c r="D49" s="1"/>
      <c r="E49" s="1"/>
      <c r="F49" s="1"/>
      <c r="G49" s="7"/>
      <c r="H49" s="7"/>
      <c r="I49" s="7"/>
      <c r="J49" s="7"/>
      <c r="K49" s="142"/>
      <c r="L49" s="142"/>
      <c r="M49" s="142"/>
      <c r="N49" s="7"/>
      <c r="O49" s="142"/>
      <c r="P49" s="142"/>
      <c r="Q49" s="142"/>
      <c r="R49" s="1"/>
      <c r="S49" s="1"/>
      <c r="T49" s="7"/>
      <c r="U49" s="35"/>
      <c r="V49" s="15"/>
      <c r="W49" s="1"/>
    </row>
    <row r="50" spans="1:23" ht="15.75" x14ac:dyDescent="0.3">
      <c r="A50" s="1"/>
      <c r="B50" s="1"/>
      <c r="C50" s="2"/>
      <c r="D50" s="1"/>
      <c r="E50" s="1"/>
      <c r="F50" s="1"/>
      <c r="G50" s="1"/>
      <c r="H50" s="1"/>
      <c r="I50" s="1"/>
      <c r="J50" s="1"/>
      <c r="K50" s="5"/>
      <c r="L50" s="5"/>
      <c r="M50" s="5"/>
      <c r="N50" s="1"/>
      <c r="O50" s="8"/>
      <c r="P50" s="143"/>
      <c r="Q50" s="143"/>
      <c r="R50" s="1"/>
      <c r="S50" s="1"/>
      <c r="T50" s="1"/>
      <c r="U50" s="15"/>
      <c r="V50" s="1"/>
      <c r="W50" s="1"/>
    </row>
    <row r="51" spans="1:23" ht="15.75" x14ac:dyDescent="0.3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75"/>
  <sheetViews>
    <sheetView zoomScaleNormal="100" workbookViewId="0">
      <selection activeCell="H5" sqref="H5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1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</row>
    <row r="2" spans="1:11" x14ac:dyDescent="0.25">
      <c r="C2" s="48" t="s">
        <v>386</v>
      </c>
      <c r="G2" s="83"/>
      <c r="H2" s="83"/>
      <c r="J2" s="19"/>
    </row>
    <row r="3" spans="1:11" ht="15.75" x14ac:dyDescent="0.3">
      <c r="A3" s="108"/>
      <c r="B3" s="46" t="s">
        <v>35</v>
      </c>
      <c r="C3" s="36" t="s">
        <v>388</v>
      </c>
      <c r="D3" s="71">
        <f t="shared" ref="D3" si="0">G3+H3</f>
        <v>98.01</v>
      </c>
      <c r="E3" s="71">
        <f>A3*D3</f>
        <v>0</v>
      </c>
      <c r="F3" s="72">
        <f>(G3*A3)/50</f>
        <v>0</v>
      </c>
      <c r="G3" s="80">
        <f>1.32*52</f>
        <v>68.64</v>
      </c>
      <c r="H3" s="80">
        <f>98.01-G3</f>
        <v>29.370000000000005</v>
      </c>
      <c r="J3" s="19"/>
    </row>
    <row r="4" spans="1:11" ht="15.75" x14ac:dyDescent="0.3">
      <c r="A4" s="108"/>
      <c r="B4" s="46"/>
      <c r="C4" s="36" t="s">
        <v>389</v>
      </c>
      <c r="D4" s="71"/>
      <c r="E4" s="71"/>
      <c r="F4" s="72"/>
      <c r="G4" s="80"/>
      <c r="H4" s="80"/>
      <c r="J4" s="19"/>
    </row>
    <row r="5" spans="1:11" ht="15.75" x14ac:dyDescent="0.3">
      <c r="A5" s="108"/>
      <c r="B5" s="41" t="s">
        <v>77</v>
      </c>
      <c r="C5" s="39" t="s">
        <v>240</v>
      </c>
      <c r="D5" s="71">
        <f t="shared" ref="D5" si="1">G5+H5</f>
        <v>616.00000000000011</v>
      </c>
      <c r="E5" s="71">
        <f t="shared" ref="E5" si="2">A5*D5</f>
        <v>0</v>
      </c>
      <c r="F5" s="72">
        <f>(G5*A5)/50</f>
        <v>0</v>
      </c>
      <c r="G5" s="80">
        <v>0</v>
      </c>
      <c r="H5" s="80">
        <f>550*1.12</f>
        <v>616.00000000000011</v>
      </c>
      <c r="J5" s="19"/>
    </row>
    <row r="6" spans="1:11" ht="15.75" x14ac:dyDescent="0.3">
      <c r="A6" s="108"/>
      <c r="B6" s="46"/>
      <c r="C6" s="36"/>
      <c r="D6" s="86"/>
      <c r="E6" s="45"/>
      <c r="F6" s="40"/>
      <c r="G6" s="99"/>
      <c r="H6" s="99"/>
      <c r="J6" s="19"/>
    </row>
    <row r="7" spans="1:11" ht="15.75" x14ac:dyDescent="0.3">
      <c r="A7" s="108"/>
      <c r="B7" s="46"/>
      <c r="C7" s="36"/>
      <c r="D7" s="86"/>
      <c r="E7" s="45"/>
      <c r="F7" s="40"/>
      <c r="G7" s="99"/>
      <c r="H7" s="99"/>
      <c r="J7" s="19"/>
    </row>
    <row r="8" spans="1:11" ht="15.75" x14ac:dyDescent="0.3">
      <c r="A8" s="108"/>
      <c r="B8" s="46"/>
      <c r="C8" s="36"/>
      <c r="D8" s="86"/>
      <c r="E8" s="45"/>
      <c r="F8" s="40"/>
      <c r="G8" s="99"/>
      <c r="H8" s="99"/>
      <c r="J8" s="19"/>
    </row>
    <row r="9" spans="1:11" ht="15.75" x14ac:dyDescent="0.3">
      <c r="A9" s="108"/>
      <c r="B9" s="46"/>
      <c r="C9" s="36"/>
      <c r="D9" s="86"/>
      <c r="E9" s="45"/>
      <c r="F9" s="40"/>
      <c r="G9" s="99"/>
      <c r="H9" s="99"/>
      <c r="J9" s="19"/>
    </row>
    <row r="10" spans="1:11" ht="15.75" x14ac:dyDescent="0.3">
      <c r="A10" s="108"/>
      <c r="B10" s="41"/>
      <c r="C10" s="39"/>
      <c r="D10" s="86"/>
      <c r="E10" s="45"/>
      <c r="F10" s="40"/>
      <c r="G10" s="99"/>
      <c r="H10" s="99"/>
      <c r="J10" s="19"/>
    </row>
    <row r="11" spans="1:11" ht="15.75" x14ac:dyDescent="0.3">
      <c r="A11" s="108"/>
      <c r="B11" s="46"/>
      <c r="C11" s="36"/>
      <c r="D11" s="86"/>
      <c r="E11" s="45"/>
      <c r="F11" s="40"/>
      <c r="G11" s="99"/>
      <c r="H11" s="99"/>
      <c r="J11" s="19"/>
    </row>
    <row r="12" spans="1:11" ht="15.75" x14ac:dyDescent="0.3">
      <c r="B12" s="46"/>
      <c r="C12" s="36"/>
      <c r="D12" s="86"/>
      <c r="E12" s="45"/>
      <c r="F12" s="40"/>
      <c r="G12" s="99"/>
      <c r="H12" s="99"/>
      <c r="J12" s="19"/>
    </row>
    <row r="13" spans="1:11" ht="15.75" x14ac:dyDescent="0.3">
      <c r="B13" s="46"/>
      <c r="C13" s="36"/>
      <c r="D13" s="86"/>
      <c r="E13" s="45"/>
      <c r="F13" s="40"/>
      <c r="G13" s="99"/>
      <c r="H13" s="99"/>
      <c r="J13" s="19"/>
    </row>
    <row r="14" spans="1:11" ht="15.75" x14ac:dyDescent="0.3">
      <c r="D14" s="86"/>
      <c r="E14" s="45"/>
      <c r="F14" s="40"/>
      <c r="G14" s="99"/>
      <c r="H14" s="99"/>
      <c r="J14" s="19"/>
    </row>
    <row r="15" spans="1:11" ht="15.75" x14ac:dyDescent="0.3">
      <c r="B15" s="46"/>
      <c r="C15" s="36"/>
      <c r="D15" s="86"/>
      <c r="E15" s="45"/>
      <c r="F15" s="40"/>
      <c r="G15" s="99"/>
      <c r="H15" s="99"/>
      <c r="J15" s="19"/>
    </row>
    <row r="16" spans="1:11" ht="15.75" x14ac:dyDescent="0.3">
      <c r="B16" s="46"/>
      <c r="C16" s="36"/>
      <c r="D16" s="86"/>
      <c r="E16" s="45"/>
      <c r="F16" s="40"/>
      <c r="G16" s="99"/>
      <c r="H16" s="99"/>
      <c r="J16" s="19"/>
    </row>
    <row r="17" spans="1:10" ht="15.75" x14ac:dyDescent="0.3">
      <c r="D17" s="86"/>
      <c r="E17" s="45"/>
      <c r="F17" s="40"/>
      <c r="G17" s="99"/>
      <c r="H17" s="99"/>
      <c r="J17" s="19"/>
    </row>
    <row r="18" spans="1:10" ht="15.75" x14ac:dyDescent="0.3">
      <c r="B18" s="46"/>
      <c r="C18" s="36"/>
      <c r="D18" s="86"/>
      <c r="E18" s="45"/>
      <c r="F18" s="40"/>
      <c r="G18" s="99"/>
      <c r="H18" s="99"/>
      <c r="J18" s="19"/>
    </row>
    <row r="19" spans="1:10" ht="15.75" x14ac:dyDescent="0.3">
      <c r="B19" s="46"/>
      <c r="C19" s="36"/>
      <c r="D19" s="86"/>
      <c r="E19" s="45"/>
      <c r="F19" s="40"/>
      <c r="G19" s="99"/>
      <c r="H19" s="99"/>
      <c r="J19" s="19"/>
    </row>
    <row r="20" spans="1:10" ht="15.75" x14ac:dyDescent="0.3">
      <c r="B20" s="46"/>
      <c r="C20" s="36"/>
      <c r="D20" s="86"/>
      <c r="E20" s="45"/>
      <c r="F20" s="40"/>
      <c r="G20" s="99"/>
      <c r="H20" s="99"/>
      <c r="J20" s="19"/>
    </row>
    <row r="21" spans="1:10" ht="15.75" x14ac:dyDescent="0.3">
      <c r="B21" s="46"/>
      <c r="C21" s="36"/>
      <c r="D21" s="86"/>
      <c r="E21" s="45"/>
      <c r="F21" s="40"/>
      <c r="G21" s="99"/>
      <c r="H21" s="99"/>
      <c r="J21" s="19"/>
    </row>
    <row r="22" spans="1:10" ht="15.75" x14ac:dyDescent="0.3">
      <c r="D22" s="86"/>
      <c r="E22" s="45"/>
      <c r="F22" s="40"/>
      <c r="G22" s="99"/>
      <c r="H22" s="99"/>
      <c r="J22" s="19"/>
    </row>
    <row r="23" spans="1:10" x14ac:dyDescent="0.25">
      <c r="J23" s="19"/>
    </row>
    <row r="24" spans="1:10" x14ac:dyDescent="0.25">
      <c r="J24" s="19"/>
    </row>
    <row r="25" spans="1:10" x14ac:dyDescent="0.25">
      <c r="D25" s="20"/>
      <c r="J25" s="19"/>
    </row>
    <row r="26" spans="1:10" x14ac:dyDescent="0.25">
      <c r="D26" s="20"/>
      <c r="J26" s="19"/>
    </row>
    <row r="27" spans="1:10" x14ac:dyDescent="0.25">
      <c r="A27" s="18" t="s">
        <v>386</v>
      </c>
      <c r="J27" s="19"/>
    </row>
    <row r="28" spans="1:10" x14ac:dyDescent="0.25">
      <c r="C28" t="s">
        <v>71</v>
      </c>
      <c r="F28" s="18" t="s">
        <v>252</v>
      </c>
      <c r="G28" t="s">
        <v>73</v>
      </c>
      <c r="J28" s="19" t="s">
        <v>75</v>
      </c>
    </row>
    <row r="29" spans="1:10" x14ac:dyDescent="0.25">
      <c r="B29" s="109" t="s">
        <v>478</v>
      </c>
      <c r="D29" s="21">
        <v>1</v>
      </c>
      <c r="E29" t="s">
        <v>35</v>
      </c>
      <c r="J29" s="19"/>
    </row>
    <row r="30" spans="1:10" x14ac:dyDescent="0.25">
      <c r="B30" s="109" t="s">
        <v>78</v>
      </c>
      <c r="C30">
        <v>55</v>
      </c>
      <c r="D30" s="20">
        <v>0.22</v>
      </c>
      <c r="E30" t="s">
        <v>84</v>
      </c>
      <c r="F30">
        <f>D30*D29</f>
        <v>0.22</v>
      </c>
      <c r="G30" s="20">
        <f>D29*D30*C30</f>
        <v>12.1</v>
      </c>
      <c r="J30" s="19"/>
    </row>
    <row r="31" spans="1:10" x14ac:dyDescent="0.25">
      <c r="B31" s="109" t="s">
        <v>0</v>
      </c>
      <c r="D31">
        <f>450*0.018*1.15*1.18</f>
        <v>10.991699999999998</v>
      </c>
      <c r="E31" t="s">
        <v>82</v>
      </c>
      <c r="G31" s="20">
        <f>D29*D31</f>
        <v>10.991699999999998</v>
      </c>
      <c r="J31" s="19"/>
    </row>
    <row r="32" spans="1:10" x14ac:dyDescent="0.25">
      <c r="B32" s="109" t="s">
        <v>80</v>
      </c>
      <c r="D32">
        <v>0.15</v>
      </c>
      <c r="E32" t="s">
        <v>82</v>
      </c>
      <c r="G32" s="20">
        <f>D30*D32</f>
        <v>3.3000000000000002E-2</v>
      </c>
      <c r="J32" s="19"/>
    </row>
    <row r="33" spans="2:15" x14ac:dyDescent="0.25">
      <c r="B33" s="109"/>
      <c r="G33" s="20"/>
      <c r="J33" s="19">
        <f>SUM(G30:G32)</f>
        <v>23.124699999999997</v>
      </c>
    </row>
    <row r="34" spans="2:15" x14ac:dyDescent="0.25">
      <c r="B34" s="109"/>
      <c r="G34" s="20"/>
      <c r="J34" s="19"/>
    </row>
    <row r="35" spans="2:15" x14ac:dyDescent="0.25">
      <c r="B35" s="109" t="s">
        <v>121</v>
      </c>
      <c r="D35" s="21">
        <v>1</v>
      </c>
      <c r="E35" t="s">
        <v>35</v>
      </c>
      <c r="G35" s="20"/>
      <c r="J35" s="19"/>
    </row>
    <row r="36" spans="2:15" x14ac:dyDescent="0.25">
      <c r="B36" s="109" t="s">
        <v>78</v>
      </c>
      <c r="C36">
        <v>55</v>
      </c>
      <c r="D36" s="20">
        <v>0.2</v>
      </c>
      <c r="E36" t="s">
        <v>84</v>
      </c>
      <c r="F36">
        <f>D36*D35</f>
        <v>0.2</v>
      </c>
      <c r="G36" s="20">
        <f>D35*D36*C36</f>
        <v>11</v>
      </c>
      <c r="J36" s="19"/>
    </row>
    <row r="37" spans="2:15" x14ac:dyDescent="0.25">
      <c r="B37" s="109" t="s">
        <v>0</v>
      </c>
      <c r="D37">
        <f>410*0.015*1.15*1.18</f>
        <v>8.3455499999999976</v>
      </c>
      <c r="E37" t="s">
        <v>82</v>
      </c>
      <c r="G37" s="20">
        <f>D35*D37</f>
        <v>8.3455499999999976</v>
      </c>
      <c r="J37" s="19"/>
    </row>
    <row r="38" spans="2:15" x14ac:dyDescent="0.25">
      <c r="B38" s="109" t="s">
        <v>80</v>
      </c>
      <c r="D38">
        <v>0.15</v>
      </c>
      <c r="E38" t="s">
        <v>82</v>
      </c>
      <c r="G38" s="20">
        <f>D36*D38</f>
        <v>0.03</v>
      </c>
      <c r="J38" s="19"/>
    </row>
    <row r="39" spans="2:15" x14ac:dyDescent="0.25">
      <c r="B39" s="109"/>
      <c r="G39" s="20"/>
      <c r="J39" s="19">
        <f>SUM(G36:G38)</f>
        <v>19.375549999999997</v>
      </c>
    </row>
    <row r="40" spans="2:15" x14ac:dyDescent="0.25">
      <c r="B40" s="109"/>
      <c r="G40" s="20"/>
      <c r="J40" s="19"/>
    </row>
    <row r="41" spans="2:15" x14ac:dyDescent="0.25">
      <c r="B41" s="109"/>
      <c r="G41" s="20"/>
      <c r="J41" s="19"/>
    </row>
    <row r="42" spans="2:15" x14ac:dyDescent="0.25">
      <c r="B42" s="110" t="s">
        <v>93</v>
      </c>
      <c r="C42" s="27"/>
      <c r="D42" s="27">
        <f>D29</f>
        <v>1</v>
      </c>
      <c r="E42" s="27" t="s">
        <v>35</v>
      </c>
      <c r="F42" s="27"/>
      <c r="G42" s="29"/>
      <c r="H42" s="27"/>
      <c r="I42" s="27"/>
      <c r="J42" s="28"/>
    </row>
    <row r="43" spans="2:15" ht="15.75" thickBot="1" x14ac:dyDescent="0.3">
      <c r="B43" s="110" t="s">
        <v>78</v>
      </c>
      <c r="C43" s="27">
        <v>55</v>
      </c>
      <c r="D43" s="29">
        <f>3/15</f>
        <v>0.2</v>
      </c>
      <c r="E43" s="27" t="s">
        <v>84</v>
      </c>
      <c r="F43" s="27">
        <f>D43*D42</f>
        <v>0.2</v>
      </c>
      <c r="G43" s="29">
        <f>D42*D43*C43</f>
        <v>11</v>
      </c>
      <c r="H43" s="27"/>
      <c r="I43" s="27"/>
      <c r="J43" s="28"/>
    </row>
    <row r="44" spans="2:15" x14ac:dyDescent="0.25">
      <c r="B44" s="110" t="s">
        <v>0</v>
      </c>
      <c r="C44" s="27"/>
      <c r="D44" s="29">
        <f>15*1.15*1.18</f>
        <v>20.355</v>
      </c>
      <c r="E44" s="27" t="s">
        <v>82</v>
      </c>
      <c r="F44" s="27"/>
      <c r="G44" s="29">
        <f>D42*D44</f>
        <v>20.355</v>
      </c>
      <c r="H44" s="27"/>
      <c r="I44" s="27"/>
      <c r="J44" s="28"/>
      <c r="N44" s="136"/>
      <c r="O44" s="137" t="s">
        <v>258</v>
      </c>
    </row>
    <row r="45" spans="2:15" x14ac:dyDescent="0.25">
      <c r="B45" s="110" t="s">
        <v>80</v>
      </c>
      <c r="C45" s="27"/>
      <c r="D45" s="27">
        <v>0.5</v>
      </c>
      <c r="E45" s="27" t="s">
        <v>82</v>
      </c>
      <c r="F45" s="27"/>
      <c r="G45" s="29">
        <f>D43*D45</f>
        <v>0.1</v>
      </c>
      <c r="H45" s="27"/>
      <c r="I45" s="27"/>
      <c r="J45" s="28"/>
      <c r="N45" s="138">
        <v>3.3000000000000002E-2</v>
      </c>
      <c r="O45" s="139">
        <v>83.3</v>
      </c>
    </row>
    <row r="46" spans="2:15" ht="15.75" thickBot="1" x14ac:dyDescent="0.3">
      <c r="B46" s="110"/>
      <c r="C46" s="27"/>
      <c r="D46" s="27"/>
      <c r="E46" s="27"/>
      <c r="F46" s="27"/>
      <c r="G46" s="29"/>
      <c r="H46" s="27"/>
      <c r="I46" s="27"/>
      <c r="J46" s="28">
        <f>SUM(G43:G45)</f>
        <v>31.455000000000002</v>
      </c>
      <c r="N46" s="140">
        <v>3.2000000000000001E-2</v>
      </c>
      <c r="O46" s="141">
        <f>110.3</f>
        <v>110.3</v>
      </c>
    </row>
    <row r="47" spans="2:15" x14ac:dyDescent="0.25">
      <c r="B47" s="109"/>
      <c r="G47" s="20"/>
      <c r="J47" s="19"/>
    </row>
    <row r="48" spans="2:15" x14ac:dyDescent="0.25">
      <c r="B48" s="111" t="s">
        <v>479</v>
      </c>
      <c r="C48" s="30"/>
      <c r="D48" s="30">
        <f>D29</f>
        <v>1</v>
      </c>
      <c r="E48" s="30" t="s">
        <v>35</v>
      </c>
      <c r="F48" s="30"/>
      <c r="G48" s="32"/>
      <c r="H48" s="30"/>
      <c r="I48" s="30"/>
      <c r="J48" s="31"/>
    </row>
    <row r="49" spans="2:21" x14ac:dyDescent="0.25">
      <c r="B49" s="111" t="s">
        <v>78</v>
      </c>
      <c r="C49" s="30">
        <v>55</v>
      </c>
      <c r="D49" s="32">
        <v>0.3</v>
      </c>
      <c r="E49" s="30" t="s">
        <v>84</v>
      </c>
      <c r="F49" s="30">
        <f>D49*D48</f>
        <v>0.3</v>
      </c>
      <c r="G49" s="32">
        <f>D48*D49*C49</f>
        <v>16.5</v>
      </c>
      <c r="H49" s="30"/>
      <c r="I49" s="30"/>
      <c r="J49" s="31"/>
    </row>
    <row r="50" spans="2:21" ht="15.75" x14ac:dyDescent="0.3">
      <c r="B50" s="110" t="s">
        <v>0</v>
      </c>
      <c r="C50" s="27"/>
      <c r="D50" s="29">
        <f>1/0.45*0.08*0.24*450*1.12*1.18</f>
        <v>25.37472</v>
      </c>
      <c r="E50" s="27" t="s">
        <v>82</v>
      </c>
      <c r="F50" s="27"/>
      <c r="G50" s="29">
        <f>D48*D50</f>
        <v>25.37472</v>
      </c>
      <c r="H50" s="30"/>
      <c r="I50" s="30"/>
      <c r="J50" s="31"/>
      <c r="M50" s="142"/>
      <c r="N50" s="142"/>
      <c r="O50" s="142"/>
      <c r="P50" s="1"/>
      <c r="Q50" s="1"/>
      <c r="R50" s="7"/>
      <c r="S50" s="35"/>
      <c r="T50" s="15"/>
      <c r="U50" s="1"/>
    </row>
    <row r="51" spans="2:21" ht="15.75" x14ac:dyDescent="0.3">
      <c r="B51" s="111" t="s">
        <v>80</v>
      </c>
      <c r="C51" s="30"/>
      <c r="D51" s="30">
        <v>2</v>
      </c>
      <c r="E51" s="30" t="s">
        <v>82</v>
      </c>
      <c r="F51" s="30"/>
      <c r="G51" s="32">
        <f>D49*D51</f>
        <v>0.6</v>
      </c>
      <c r="H51" s="30"/>
      <c r="I51" s="30"/>
      <c r="J51" s="31"/>
      <c r="M51" s="8"/>
      <c r="N51" s="143"/>
      <c r="O51" s="143"/>
      <c r="P51" s="1"/>
      <c r="Q51" s="1"/>
      <c r="R51" s="1"/>
      <c r="S51" s="15"/>
      <c r="T51" s="1"/>
      <c r="U51" s="1"/>
    </row>
    <row r="52" spans="2:21" ht="15.75" x14ac:dyDescent="0.3">
      <c r="B52" s="111"/>
      <c r="C52" s="30"/>
      <c r="D52" s="30"/>
      <c r="E52" s="30"/>
      <c r="F52" s="30"/>
      <c r="G52" s="32"/>
      <c r="H52" s="30"/>
      <c r="I52" s="30"/>
      <c r="J52" s="31">
        <f>SUM(G49:G51)-G50</f>
        <v>17.099999999999998</v>
      </c>
      <c r="K52" t="s">
        <v>390</v>
      </c>
      <c r="M52" s="32">
        <f>G49+G50+G51</f>
        <v>42.474719999999998</v>
      </c>
      <c r="N52" s="1" t="s">
        <v>476</v>
      </c>
      <c r="O52" s="1"/>
      <c r="P52" s="1"/>
      <c r="Q52" s="1"/>
      <c r="R52" s="1"/>
      <c r="S52" s="1"/>
      <c r="T52" s="1"/>
      <c r="U52" s="1"/>
    </row>
    <row r="53" spans="2:21" ht="15.75" x14ac:dyDescent="0.3">
      <c r="B53" s="109"/>
      <c r="G53" s="20"/>
      <c r="J53" s="19"/>
      <c r="M53" s="1"/>
      <c r="N53" s="1"/>
      <c r="O53" s="1"/>
      <c r="P53" s="1"/>
      <c r="Q53" s="1"/>
      <c r="R53" s="1"/>
      <c r="S53" s="1"/>
      <c r="T53" s="1"/>
      <c r="U53" s="1"/>
    </row>
    <row r="54" spans="2:21" ht="15.75" x14ac:dyDescent="0.3">
      <c r="B54" s="109"/>
      <c r="G54" s="20"/>
      <c r="J54" s="19"/>
      <c r="M54" s="1"/>
      <c r="N54" s="1"/>
      <c r="O54" s="1"/>
      <c r="P54" s="1"/>
      <c r="Q54" s="1"/>
      <c r="R54" s="1"/>
      <c r="S54" s="1"/>
      <c r="T54" s="1"/>
      <c r="U54" s="1"/>
    </row>
    <row r="55" spans="2:21" ht="15.75" x14ac:dyDescent="0.3">
      <c r="B55" s="109" t="s">
        <v>14</v>
      </c>
      <c r="D55">
        <f>D29</f>
        <v>1</v>
      </c>
      <c r="E55" t="s">
        <v>35</v>
      </c>
      <c r="G55" s="20"/>
      <c r="J55" s="19"/>
      <c r="M55" s="1"/>
      <c r="N55" s="1"/>
      <c r="O55" s="1"/>
      <c r="P55" s="1"/>
      <c r="Q55" s="1"/>
      <c r="R55" s="1"/>
      <c r="S55" s="1"/>
      <c r="T55" s="1"/>
      <c r="U55" s="1"/>
    </row>
    <row r="56" spans="2:21" ht="15.75" x14ac:dyDescent="0.3">
      <c r="B56" s="109" t="s">
        <v>78</v>
      </c>
      <c r="C56">
        <v>55</v>
      </c>
      <c r="D56" s="20">
        <v>0.2</v>
      </c>
      <c r="E56" t="s">
        <v>84</v>
      </c>
      <c r="F56">
        <f>D56*D55</f>
        <v>0.2</v>
      </c>
      <c r="G56" s="20">
        <f>D55*D56*C56</f>
        <v>11</v>
      </c>
      <c r="J56" s="19"/>
      <c r="M56" s="1"/>
      <c r="N56" s="1"/>
      <c r="O56" s="1"/>
      <c r="P56" s="1"/>
      <c r="Q56" s="1"/>
      <c r="R56" s="1"/>
      <c r="S56" s="1"/>
      <c r="T56" s="1"/>
      <c r="U56" s="1"/>
    </row>
    <row r="57" spans="2:21" ht="15.75" x14ac:dyDescent="0.3">
      <c r="B57" s="109" t="s">
        <v>0</v>
      </c>
      <c r="D57" s="20">
        <f>1.18*83.3*0.24*0.9</f>
        <v>21.231504000000001</v>
      </c>
      <c r="E57" t="s">
        <v>82</v>
      </c>
      <c r="G57" s="20">
        <f>D55*D57</f>
        <v>21.231504000000001</v>
      </c>
      <c r="J57" s="19"/>
      <c r="M57" s="1"/>
      <c r="N57" s="1"/>
      <c r="O57" s="1"/>
      <c r="P57" s="1"/>
      <c r="Q57" s="1"/>
      <c r="R57" s="1"/>
      <c r="S57" s="1"/>
      <c r="T57" s="1"/>
      <c r="U57" s="1"/>
    </row>
    <row r="58" spans="2:21" ht="15.75" x14ac:dyDescent="0.3">
      <c r="B58" s="109" t="s">
        <v>80</v>
      </c>
      <c r="D58">
        <v>0.15</v>
      </c>
      <c r="E58" t="s">
        <v>82</v>
      </c>
      <c r="G58" s="20">
        <f>D56*D58</f>
        <v>0.03</v>
      </c>
      <c r="J58" s="19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5">
      <c r="B59" s="109"/>
      <c r="G59" s="20"/>
      <c r="J59" s="19">
        <f>SUM(G56:G58)</f>
        <v>32.261504000000002</v>
      </c>
    </row>
    <row r="60" spans="2:21" x14ac:dyDescent="0.25">
      <c r="B60" s="109"/>
      <c r="G60" s="20"/>
      <c r="J60" s="19"/>
    </row>
    <row r="61" spans="2:21" x14ac:dyDescent="0.25">
      <c r="B61" s="109"/>
      <c r="G61" s="20"/>
      <c r="J61" s="19"/>
    </row>
    <row r="62" spans="2:21" x14ac:dyDescent="0.25">
      <c r="B62" s="112" t="s">
        <v>96</v>
      </c>
      <c r="C62" s="113"/>
      <c r="D62" s="113">
        <f>D29</f>
        <v>1</v>
      </c>
      <c r="E62" s="113" t="s">
        <v>35</v>
      </c>
      <c r="F62" s="113"/>
      <c r="G62" s="115"/>
      <c r="H62" s="113"/>
      <c r="I62" s="113"/>
      <c r="J62" s="114"/>
    </row>
    <row r="63" spans="2:21" x14ac:dyDescent="0.25">
      <c r="B63" s="112" t="s">
        <v>78</v>
      </c>
      <c r="C63" s="113">
        <v>50</v>
      </c>
      <c r="D63" s="115">
        <v>0.1</v>
      </c>
      <c r="E63" s="113" t="s">
        <v>84</v>
      </c>
      <c r="F63" s="113">
        <f>D63*D62</f>
        <v>0.1</v>
      </c>
      <c r="G63" s="115">
        <f>D62*D63*C63</f>
        <v>5</v>
      </c>
      <c r="H63" s="113"/>
      <c r="I63" s="113"/>
      <c r="J63" s="114"/>
    </row>
    <row r="64" spans="2:21" x14ac:dyDescent="0.25">
      <c r="B64" s="112" t="s">
        <v>80</v>
      </c>
      <c r="C64" s="113"/>
      <c r="D64" s="113">
        <v>2</v>
      </c>
      <c r="E64" s="113" t="s">
        <v>82</v>
      </c>
      <c r="F64" s="113"/>
      <c r="G64" s="115">
        <v>2</v>
      </c>
      <c r="H64" s="113"/>
      <c r="I64" s="113"/>
      <c r="J64" s="114"/>
    </row>
    <row r="65" spans="1:12" x14ac:dyDescent="0.25">
      <c r="B65" s="112"/>
      <c r="C65" s="113"/>
      <c r="D65" s="113"/>
      <c r="E65" s="113"/>
      <c r="F65" s="113"/>
      <c r="G65" s="115"/>
      <c r="H65" s="113"/>
      <c r="I65" s="113"/>
      <c r="J65" s="114">
        <f>SUM(G63:G64)</f>
        <v>7</v>
      </c>
    </row>
    <row r="66" spans="1:12" x14ac:dyDescent="0.25">
      <c r="B66" s="109"/>
      <c r="G66" s="20"/>
      <c r="J66" s="19"/>
    </row>
    <row r="67" spans="1:12" x14ac:dyDescent="0.25">
      <c r="B67" s="109"/>
      <c r="G67" s="20"/>
      <c r="J67" s="19"/>
    </row>
    <row r="68" spans="1:12" x14ac:dyDescent="0.25">
      <c r="B68" s="109"/>
      <c r="G68" s="20"/>
      <c r="J68" s="19"/>
    </row>
    <row r="69" spans="1:12" x14ac:dyDescent="0.25">
      <c r="B69" s="109" t="s">
        <v>33</v>
      </c>
      <c r="D69">
        <f>D29</f>
        <v>1</v>
      </c>
      <c r="E69" t="s">
        <v>35</v>
      </c>
      <c r="G69" s="20"/>
      <c r="J69" s="19"/>
    </row>
    <row r="70" spans="1:12" x14ac:dyDescent="0.25">
      <c r="B70" s="109" t="s">
        <v>78</v>
      </c>
      <c r="C70">
        <v>50</v>
      </c>
      <c r="D70">
        <v>0.4</v>
      </c>
      <c r="E70" t="s">
        <v>84</v>
      </c>
      <c r="F70">
        <f>D69*D70</f>
        <v>0.4</v>
      </c>
      <c r="G70" s="20">
        <f>D69*D70*C70</f>
        <v>20</v>
      </c>
      <c r="J70" s="19"/>
    </row>
    <row r="71" spans="1:12" x14ac:dyDescent="0.25">
      <c r="B71" s="109" t="s">
        <v>85</v>
      </c>
      <c r="D71">
        <v>1.6</v>
      </c>
      <c r="E71" t="s">
        <v>82</v>
      </c>
      <c r="G71" s="20">
        <f>D71*D69</f>
        <v>1.6</v>
      </c>
      <c r="J71" s="19"/>
    </row>
    <row r="72" spans="1:12" x14ac:dyDescent="0.25">
      <c r="B72" s="109"/>
      <c r="D72" s="20"/>
      <c r="G72" s="20"/>
      <c r="J72" s="19"/>
    </row>
    <row r="73" spans="1:12" x14ac:dyDescent="0.25">
      <c r="G73" s="20"/>
      <c r="J73" s="19">
        <f>(G70+G71)*D69</f>
        <v>21.6</v>
      </c>
      <c r="K73" t="s">
        <v>83</v>
      </c>
    </row>
    <row r="74" spans="1:12" x14ac:dyDescent="0.25">
      <c r="G74" s="20"/>
      <c r="J74" s="19"/>
    </row>
    <row r="75" spans="1:12" x14ac:dyDescent="0.25">
      <c r="A75" s="22"/>
      <c r="B75" s="23"/>
      <c r="C75" s="23"/>
      <c r="D75" s="23"/>
      <c r="E75" s="23"/>
      <c r="F75" s="24">
        <f>SUM(F30:F74)</f>
        <v>1.62</v>
      </c>
      <c r="G75" s="89">
        <f>SUM(G30:G74)</f>
        <v>177.29147399999999</v>
      </c>
      <c r="H75" s="23"/>
      <c r="I75" s="23"/>
      <c r="J75" s="25">
        <f>J33+J39+J52+J59+J73</f>
        <v>113.46175399999998</v>
      </c>
      <c r="K75" s="26" t="s">
        <v>83</v>
      </c>
      <c r="L75" s="20">
        <f>G71+G70+G64+G63+G58+G57+G56+G51+G49+G45+G43+G44+G32+G31+G30</f>
        <v>132.54120399999999</v>
      </c>
    </row>
  </sheetData>
  <mergeCells count="2">
    <mergeCell ref="M50:O50"/>
    <mergeCell ref="N51:O5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58"/>
  <sheetViews>
    <sheetView zoomScaleNormal="100" workbookViewId="0">
      <selection activeCell="C2" sqref="C2:H2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3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3" x14ac:dyDescent="0.25">
      <c r="C2" s="48" t="s">
        <v>387</v>
      </c>
      <c r="G2" s="83"/>
      <c r="H2" s="83"/>
      <c r="L2" s="19"/>
    </row>
    <row r="3" spans="1:13" ht="15.75" x14ac:dyDescent="0.3">
      <c r="B3" s="46"/>
      <c r="C3" s="36"/>
      <c r="D3" s="86"/>
      <c r="E3" s="45"/>
      <c r="F3" s="40"/>
      <c r="G3" s="99"/>
      <c r="H3" s="99"/>
      <c r="L3" s="19"/>
    </row>
    <row r="4" spans="1:13" ht="15.75" x14ac:dyDescent="0.3">
      <c r="B4" s="46"/>
      <c r="C4" s="36"/>
      <c r="D4" s="86"/>
      <c r="E4" s="45"/>
      <c r="F4" s="40"/>
      <c r="G4" s="99"/>
      <c r="H4" s="99"/>
      <c r="L4" s="19"/>
    </row>
    <row r="5" spans="1:13" ht="15.75" x14ac:dyDescent="0.3">
      <c r="B5" s="46"/>
      <c r="C5" s="36"/>
      <c r="D5" s="86"/>
      <c r="E5" s="45"/>
      <c r="F5" s="40"/>
      <c r="G5" s="99"/>
      <c r="H5" s="99"/>
      <c r="L5" s="19"/>
    </row>
    <row r="6" spans="1:13" ht="15.75" x14ac:dyDescent="0.3">
      <c r="B6" s="46"/>
      <c r="C6" s="36"/>
      <c r="D6" s="86"/>
      <c r="E6" s="45"/>
      <c r="F6" s="40"/>
      <c r="G6" s="99"/>
      <c r="H6" s="99"/>
      <c r="L6" s="19"/>
    </row>
    <row r="7" spans="1:13" ht="15.75" x14ac:dyDescent="0.3">
      <c r="B7" s="46"/>
      <c r="C7" s="36"/>
      <c r="D7" s="86"/>
      <c r="E7" s="45"/>
      <c r="F7" s="40"/>
      <c r="G7" s="99"/>
      <c r="H7" s="99"/>
      <c r="L7" s="19"/>
    </row>
    <row r="8" spans="1:13" ht="15.75" x14ac:dyDescent="0.3">
      <c r="B8" s="46"/>
      <c r="C8" s="36"/>
      <c r="D8" s="86"/>
      <c r="E8" s="45"/>
      <c r="F8" s="40"/>
      <c r="G8" s="99"/>
      <c r="H8" s="99"/>
      <c r="L8" s="19"/>
    </row>
    <row r="9" spans="1:13" ht="15.75" x14ac:dyDescent="0.3">
      <c r="B9" s="41"/>
      <c r="C9" s="39"/>
      <c r="D9" s="86"/>
      <c r="E9" s="45"/>
      <c r="F9" s="40"/>
      <c r="G9" s="99"/>
      <c r="H9" s="99"/>
      <c r="L9" s="19"/>
    </row>
    <row r="10" spans="1:13" ht="15.75" x14ac:dyDescent="0.3">
      <c r="B10" s="46"/>
      <c r="C10" s="36"/>
      <c r="D10" s="86"/>
      <c r="E10" s="45"/>
      <c r="F10" s="40"/>
      <c r="G10" s="99"/>
      <c r="H10" s="99"/>
      <c r="L10" s="19"/>
    </row>
    <row r="11" spans="1:13" ht="15.75" x14ac:dyDescent="0.3">
      <c r="B11" s="46"/>
      <c r="C11" s="36"/>
      <c r="D11" s="86"/>
      <c r="E11" s="45"/>
      <c r="F11" s="40"/>
      <c r="G11" s="99"/>
      <c r="H11" s="99"/>
      <c r="L11" s="19"/>
    </row>
    <row r="12" spans="1:13" ht="15.75" x14ac:dyDescent="0.3">
      <c r="B12" s="46"/>
      <c r="C12" s="36"/>
      <c r="D12" s="86"/>
      <c r="E12" s="45"/>
      <c r="F12" s="40"/>
      <c r="G12" s="99"/>
      <c r="H12" s="99"/>
      <c r="L12" s="19"/>
    </row>
    <row r="13" spans="1:13" ht="15.75" x14ac:dyDescent="0.3">
      <c r="D13" s="86"/>
      <c r="E13" s="45"/>
      <c r="F13" s="40"/>
      <c r="G13" s="99"/>
      <c r="H13" s="99"/>
      <c r="L13" s="19"/>
    </row>
    <row r="14" spans="1:13" ht="15.75" x14ac:dyDescent="0.3">
      <c r="B14" s="46"/>
      <c r="C14" s="36"/>
      <c r="D14" s="86"/>
      <c r="E14" s="45"/>
      <c r="F14" s="40"/>
      <c r="G14" s="99"/>
      <c r="H14" s="99"/>
      <c r="L14" s="19"/>
    </row>
    <row r="15" spans="1:13" ht="15.75" x14ac:dyDescent="0.3">
      <c r="B15" s="46"/>
      <c r="C15" s="36"/>
      <c r="D15" s="86"/>
      <c r="E15" s="45"/>
      <c r="F15" s="40"/>
      <c r="G15" s="99"/>
      <c r="H15" s="99"/>
      <c r="L15" s="19"/>
    </row>
    <row r="16" spans="1:13" ht="15.75" x14ac:dyDescent="0.3">
      <c r="D16" s="86"/>
      <c r="E16" s="45"/>
      <c r="F16" s="40"/>
      <c r="G16" s="99"/>
      <c r="H16" s="99"/>
      <c r="L16" s="19"/>
    </row>
    <row r="17" spans="2:12" ht="15.75" x14ac:dyDescent="0.3">
      <c r="B17" s="46"/>
      <c r="C17" s="36"/>
      <c r="D17" s="86"/>
      <c r="E17" s="45"/>
      <c r="F17" s="40"/>
      <c r="G17" s="99"/>
      <c r="H17" s="99"/>
      <c r="L17" s="19"/>
    </row>
    <row r="18" spans="2:12" ht="15.75" x14ac:dyDescent="0.3">
      <c r="B18" s="46"/>
      <c r="C18" s="36"/>
      <c r="D18" s="86"/>
      <c r="E18" s="45"/>
      <c r="F18" s="40"/>
      <c r="G18" s="99"/>
      <c r="H18" s="99"/>
      <c r="L18" s="19"/>
    </row>
    <row r="19" spans="2:12" ht="15.75" x14ac:dyDescent="0.3">
      <c r="B19" s="46"/>
      <c r="C19" s="36"/>
      <c r="D19" s="86"/>
      <c r="E19" s="45"/>
      <c r="F19" s="40"/>
      <c r="G19" s="99"/>
      <c r="H19" s="99"/>
      <c r="L19" s="19"/>
    </row>
    <row r="20" spans="2:12" ht="15.75" x14ac:dyDescent="0.3">
      <c r="B20" s="46"/>
      <c r="C20" s="36"/>
      <c r="D20" s="86"/>
      <c r="E20" s="45"/>
      <c r="F20" s="40"/>
      <c r="G20" s="99"/>
      <c r="H20" s="99"/>
      <c r="L20" s="19"/>
    </row>
    <row r="21" spans="2:12" ht="15.75" x14ac:dyDescent="0.3">
      <c r="D21" s="86"/>
      <c r="E21" s="45"/>
      <c r="F21" s="40"/>
      <c r="G21" s="99"/>
      <c r="H21" s="99"/>
      <c r="L21" s="19"/>
    </row>
    <row r="22" spans="2:12" x14ac:dyDescent="0.25">
      <c r="L22" s="19"/>
    </row>
    <row r="23" spans="2:12" x14ac:dyDescent="0.25">
      <c r="L23" s="19"/>
    </row>
    <row r="24" spans="2:12" x14ac:dyDescent="0.25">
      <c r="D24" s="20"/>
      <c r="L24" s="19"/>
    </row>
    <row r="25" spans="2:12" x14ac:dyDescent="0.25">
      <c r="D25" s="20"/>
      <c r="L25" s="19"/>
    </row>
    <row r="26" spans="2:12" x14ac:dyDescent="0.25">
      <c r="L26" s="19"/>
    </row>
    <row r="27" spans="2:12" x14ac:dyDescent="0.25">
      <c r="L27" s="19"/>
    </row>
    <row r="28" spans="2:12" x14ac:dyDescent="0.25">
      <c r="L28" s="19"/>
    </row>
    <row r="29" spans="2:12" x14ac:dyDescent="0.25">
      <c r="L29" s="19"/>
    </row>
    <row r="30" spans="2:12" x14ac:dyDescent="0.25">
      <c r="L30" s="19"/>
    </row>
    <row r="31" spans="2:12" x14ac:dyDescent="0.25">
      <c r="D31" s="20"/>
      <c r="L31" s="19"/>
    </row>
    <row r="32" spans="2:12" x14ac:dyDescent="0.25">
      <c r="L32" s="19"/>
    </row>
    <row r="33" spans="4:14" x14ac:dyDescent="0.25">
      <c r="L33" s="19"/>
    </row>
    <row r="34" spans="4:14" x14ac:dyDescent="0.25">
      <c r="L34" s="19"/>
    </row>
    <row r="35" spans="4:14" x14ac:dyDescent="0.25">
      <c r="L35" s="19"/>
    </row>
    <row r="36" spans="4:14" x14ac:dyDescent="0.25">
      <c r="J36" s="20"/>
      <c r="L36" s="19"/>
    </row>
    <row r="37" spans="4:14" x14ac:dyDescent="0.25">
      <c r="L37" s="19"/>
    </row>
    <row r="38" spans="4:14" x14ac:dyDescent="0.25">
      <c r="L38" s="19"/>
    </row>
    <row r="39" spans="4:14" x14ac:dyDescent="0.25">
      <c r="L39" s="19"/>
    </row>
    <row r="40" spans="4:14" x14ac:dyDescent="0.25">
      <c r="D40" s="20"/>
      <c r="G40" s="20"/>
      <c r="L40" s="19"/>
    </row>
    <row r="41" spans="4:14" x14ac:dyDescent="0.25">
      <c r="J41" s="20"/>
      <c r="L41" s="19"/>
    </row>
    <row r="42" spans="4:14" x14ac:dyDescent="0.25">
      <c r="L42" s="19"/>
    </row>
    <row r="43" spans="4:14" x14ac:dyDescent="0.25">
      <c r="F43" s="33"/>
      <c r="G43" s="34"/>
      <c r="L43" s="19"/>
      <c r="N43" s="20"/>
    </row>
    <row r="47" spans="4:14" ht="15.75" x14ac:dyDescent="0.3">
      <c r="E47" s="1"/>
      <c r="F47" s="1"/>
      <c r="G47" s="1"/>
      <c r="H47" s="1"/>
      <c r="I47" s="1"/>
      <c r="J47" s="1"/>
      <c r="K47" s="1"/>
      <c r="L47" s="1"/>
      <c r="M47" s="1"/>
    </row>
    <row r="49" spans="1:23" ht="15.75" x14ac:dyDescent="0.3">
      <c r="A49" s="1"/>
      <c r="B49" s="1"/>
      <c r="C49" s="2"/>
      <c r="D49" s="1"/>
      <c r="E49" s="1"/>
      <c r="F49" s="1"/>
      <c r="G49" s="7"/>
      <c r="H49" s="7"/>
      <c r="I49" s="7"/>
      <c r="J49" s="7"/>
      <c r="K49" s="142"/>
      <c r="L49" s="142"/>
      <c r="M49" s="142"/>
      <c r="N49" s="7"/>
      <c r="O49" s="142"/>
      <c r="P49" s="142"/>
      <c r="Q49" s="142"/>
      <c r="R49" s="1"/>
      <c r="S49" s="1"/>
      <c r="T49" s="7"/>
      <c r="U49" s="35"/>
      <c r="V49" s="15"/>
      <c r="W49" s="1"/>
    </row>
    <row r="50" spans="1:23" ht="15.75" x14ac:dyDescent="0.3">
      <c r="A50" s="1"/>
      <c r="B50" s="1"/>
      <c r="C50" s="2"/>
      <c r="D50" s="1"/>
      <c r="E50" s="1"/>
      <c r="F50" s="1"/>
      <c r="G50" s="1"/>
      <c r="H50" s="1"/>
      <c r="I50" s="1"/>
      <c r="J50" s="1"/>
      <c r="K50" s="5"/>
      <c r="L50" s="5"/>
      <c r="M50" s="5"/>
      <c r="N50" s="1"/>
      <c r="O50" s="8"/>
      <c r="P50" s="143"/>
      <c r="Q50" s="143"/>
      <c r="R50" s="1"/>
      <c r="S50" s="1"/>
      <c r="T50" s="1"/>
      <c r="U50" s="15"/>
      <c r="V50" s="1"/>
      <c r="W50" s="1"/>
    </row>
    <row r="51" spans="1:23" ht="15.75" x14ac:dyDescent="0.3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A58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91"/>
  <sheetViews>
    <sheetView topLeftCell="A68" zoomScale="85" zoomScaleNormal="85" workbookViewId="0">
      <selection activeCell="G26" sqref="G26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3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3" x14ac:dyDescent="0.25">
      <c r="C2" s="48" t="s">
        <v>383</v>
      </c>
      <c r="G2" s="83"/>
      <c r="H2" s="83"/>
    </row>
    <row r="3" spans="1:13" ht="15.75" x14ac:dyDescent="0.3">
      <c r="B3" s="46" t="s">
        <v>35</v>
      </c>
      <c r="C3" s="36" t="s">
        <v>295</v>
      </c>
      <c r="D3" s="86">
        <f t="shared" ref="D3:D11" si="0">G3+H3</f>
        <v>109.88368738461538</v>
      </c>
      <c r="E3" s="45">
        <f>D3*A3</f>
        <v>0</v>
      </c>
      <c r="F3" s="40">
        <f>G3/50*A3</f>
        <v>0</v>
      </c>
      <c r="G3" s="99">
        <f>1.2*52</f>
        <v>62.4</v>
      </c>
      <c r="H3" s="99">
        <f>25*1.12*1.16+6+1/0.65*0.06*0.08*1.16*1.12*730+2</f>
        <v>47.483687384615386</v>
      </c>
      <c r="I3" s="20"/>
      <c r="J3" s="20"/>
      <c r="K3" s="20"/>
      <c r="L3" s="20"/>
      <c r="M3" s="20"/>
    </row>
    <row r="4" spans="1:13" ht="15.75" x14ac:dyDescent="0.3">
      <c r="B4" s="46" t="s">
        <v>35</v>
      </c>
      <c r="C4" s="36" t="s">
        <v>297</v>
      </c>
      <c r="D4" s="86">
        <f t="shared" ref="D4" si="1">G4+H4</f>
        <v>74.88</v>
      </c>
      <c r="E4" s="45">
        <f>D4*A4</f>
        <v>0</v>
      </c>
      <c r="F4" s="40">
        <f>G4/50*A4</f>
        <v>0</v>
      </c>
      <c r="G4" s="99">
        <f>0.7*52</f>
        <v>36.4</v>
      </c>
      <c r="H4" s="99">
        <f>25*1.12*1.16+6</f>
        <v>38.480000000000004</v>
      </c>
      <c r="I4" s="20"/>
      <c r="J4" s="20"/>
      <c r="K4" s="20"/>
      <c r="L4" s="20"/>
      <c r="M4" s="20"/>
    </row>
    <row r="5" spans="1:13" ht="15.75" x14ac:dyDescent="0.3">
      <c r="B5" s="46" t="s">
        <v>35</v>
      </c>
      <c r="C5" s="36" t="s">
        <v>430</v>
      </c>
      <c r="D5" s="86">
        <f t="shared" si="0"/>
        <v>45.031255272727279</v>
      </c>
      <c r="E5" s="45">
        <f t="shared" ref="E5:E12" si="2">D5*A5</f>
        <v>0</v>
      </c>
      <c r="F5" s="40">
        <f t="shared" ref="F5:F12" si="3">G5/50*A5</f>
        <v>0</v>
      </c>
      <c r="G5" s="99">
        <f>0.1*52+0.25*52</f>
        <v>18.2</v>
      </c>
      <c r="H5" s="99">
        <f>1/0.55*0.12*0.12*1.16*1.12*730+2</f>
        <v>26.831255272727276</v>
      </c>
      <c r="I5" s="20"/>
      <c r="J5" s="20"/>
      <c r="K5" s="20"/>
      <c r="L5" s="20"/>
      <c r="M5" s="20"/>
    </row>
    <row r="6" spans="1:13" ht="15.75" x14ac:dyDescent="0.3">
      <c r="B6" s="46" t="s">
        <v>109</v>
      </c>
      <c r="C6" s="36" t="s">
        <v>296</v>
      </c>
      <c r="D6" s="86">
        <f t="shared" si="0"/>
        <v>0</v>
      </c>
      <c r="E6" s="45">
        <f t="shared" si="2"/>
        <v>0</v>
      </c>
      <c r="F6" s="40">
        <f t="shared" si="3"/>
        <v>0</v>
      </c>
      <c r="G6" s="99"/>
      <c r="H6" s="99"/>
      <c r="L6" s="19"/>
    </row>
    <row r="7" spans="1:13" ht="15.75" x14ac:dyDescent="0.3">
      <c r="B7" s="46" t="s">
        <v>109</v>
      </c>
      <c r="C7" s="36" t="s">
        <v>192</v>
      </c>
      <c r="D7" s="86">
        <f t="shared" si="0"/>
        <v>0</v>
      </c>
      <c r="E7" s="45">
        <f t="shared" si="2"/>
        <v>0</v>
      </c>
      <c r="F7" s="40">
        <f t="shared" si="3"/>
        <v>0</v>
      </c>
      <c r="G7" s="99"/>
      <c r="H7" s="99"/>
      <c r="L7" s="19"/>
    </row>
    <row r="8" spans="1:13" ht="15.75" x14ac:dyDescent="0.3">
      <c r="B8" s="46" t="s">
        <v>35</v>
      </c>
      <c r="C8" s="36" t="s">
        <v>431</v>
      </c>
      <c r="D8" s="86">
        <f t="shared" si="0"/>
        <v>42.335999999999999</v>
      </c>
      <c r="E8" s="45">
        <f t="shared" si="2"/>
        <v>0</v>
      </c>
      <c r="F8" s="40">
        <f t="shared" si="3"/>
        <v>0</v>
      </c>
      <c r="G8" s="99">
        <f>0.1*52+0.15*52</f>
        <v>13</v>
      </c>
      <c r="H8" s="99">
        <f>22*1.12*1.15+1</f>
        <v>29.335999999999999</v>
      </c>
      <c r="L8" s="19"/>
    </row>
    <row r="9" spans="1:13" ht="15.75" x14ac:dyDescent="0.3">
      <c r="B9" s="41" t="s">
        <v>35</v>
      </c>
      <c r="C9" s="39" t="s">
        <v>216</v>
      </c>
      <c r="D9" s="86">
        <f>G9+H9</f>
        <v>27.7896</v>
      </c>
      <c r="E9" s="45">
        <f>D9*A14</f>
        <v>0</v>
      </c>
      <c r="F9" s="40">
        <f>G9/50*A14</f>
        <v>0</v>
      </c>
      <c r="G9" s="99">
        <f>0.2*52</f>
        <v>10.4</v>
      </c>
      <c r="H9" s="99">
        <f>13*1.16*1.12+0.5</f>
        <v>17.389599999999998</v>
      </c>
      <c r="L9" s="19"/>
    </row>
    <row r="10" spans="1:13" ht="15.75" x14ac:dyDescent="0.3">
      <c r="B10" s="46" t="s">
        <v>35</v>
      </c>
      <c r="C10" s="36" t="s">
        <v>193</v>
      </c>
      <c r="D10" s="86">
        <f t="shared" si="0"/>
        <v>40.856000000000002</v>
      </c>
      <c r="E10" s="45">
        <f t="shared" si="2"/>
        <v>0</v>
      </c>
      <c r="F10" s="40">
        <f t="shared" si="3"/>
        <v>0</v>
      </c>
      <c r="G10" s="99">
        <f>0.35*52</f>
        <v>18.2</v>
      </c>
      <c r="H10" s="99">
        <f>13*1.35*1.12+3</f>
        <v>22.656000000000002</v>
      </c>
      <c r="L10" s="19"/>
    </row>
    <row r="11" spans="1:13" ht="15.75" x14ac:dyDescent="0.3">
      <c r="B11" s="46" t="s">
        <v>35</v>
      </c>
      <c r="C11" s="36" t="s">
        <v>194</v>
      </c>
      <c r="D11" s="86">
        <f t="shared" si="0"/>
        <v>0</v>
      </c>
      <c r="E11" s="45">
        <f t="shared" si="2"/>
        <v>0</v>
      </c>
      <c r="F11" s="40">
        <f t="shared" si="3"/>
        <v>0</v>
      </c>
      <c r="G11" s="99"/>
      <c r="H11" s="99"/>
      <c r="L11" s="19"/>
    </row>
    <row r="12" spans="1:13" ht="15.75" x14ac:dyDescent="0.3">
      <c r="B12" s="46" t="s">
        <v>24</v>
      </c>
      <c r="C12" s="36" t="s">
        <v>160</v>
      </c>
      <c r="D12" s="86">
        <f>G12+H12</f>
        <v>9.6352000000000011</v>
      </c>
      <c r="E12" s="45">
        <f t="shared" si="2"/>
        <v>0</v>
      </c>
      <c r="F12" s="40">
        <f t="shared" si="3"/>
        <v>0</v>
      </c>
      <c r="G12" s="99">
        <f>0.1*52</f>
        <v>5.2</v>
      </c>
      <c r="H12" s="99">
        <f>0.15*1.2*1.12*22</f>
        <v>4.4352</v>
      </c>
      <c r="L12" s="19"/>
    </row>
    <row r="13" spans="1:13" ht="15.75" x14ac:dyDescent="0.3">
      <c r="B13" s="46" t="s">
        <v>24</v>
      </c>
      <c r="C13" s="36" t="s">
        <v>432</v>
      </c>
      <c r="D13" s="86">
        <f>G13+H13</f>
        <v>12.635200000000001</v>
      </c>
      <c r="E13" s="45">
        <f t="shared" ref="E13" si="4">D13*A13</f>
        <v>0</v>
      </c>
      <c r="F13" s="40">
        <f t="shared" ref="F13" si="5">G13/50*A13</f>
        <v>0</v>
      </c>
      <c r="G13" s="99">
        <f>0.1*52</f>
        <v>5.2</v>
      </c>
      <c r="H13" s="99">
        <f>0.15*1.2*1.12*22+3</f>
        <v>7.4352</v>
      </c>
      <c r="L13" s="19"/>
    </row>
    <row r="14" spans="1:13" ht="15.75" x14ac:dyDescent="0.3">
      <c r="B14" s="46" t="s">
        <v>109</v>
      </c>
      <c r="C14" s="36" t="s">
        <v>298</v>
      </c>
      <c r="D14" s="86">
        <f t="shared" ref="D14:D19" si="6">G14+H14</f>
        <v>0</v>
      </c>
      <c r="E14" s="45">
        <f t="shared" ref="E14:E19" si="7">D14*A14</f>
        <v>0</v>
      </c>
      <c r="F14" s="40">
        <f t="shared" ref="F14:F19" si="8">G14/50*A14</f>
        <v>0</v>
      </c>
      <c r="G14" s="99"/>
      <c r="H14" s="99"/>
      <c r="L14" s="19"/>
    </row>
    <row r="15" spans="1:13" ht="15.75" x14ac:dyDescent="0.3">
      <c r="B15" s="46" t="s">
        <v>24</v>
      </c>
      <c r="C15" s="36" t="s">
        <v>370</v>
      </c>
      <c r="D15" s="86">
        <f t="shared" si="6"/>
        <v>399.89879999999999</v>
      </c>
      <c r="E15" s="45">
        <f t="shared" si="7"/>
        <v>0</v>
      </c>
      <c r="F15" s="40">
        <f t="shared" si="8"/>
        <v>0</v>
      </c>
      <c r="G15" s="99">
        <f>4.5*52</f>
        <v>234</v>
      </c>
      <c r="H15" s="99">
        <f>0.08*730*1.15*1.18+0.45*25+30*1.18+10+30</f>
        <v>165.89879999999999</v>
      </c>
      <c r="L15" s="19"/>
    </row>
    <row r="16" spans="1:13" ht="15.75" x14ac:dyDescent="0.3">
      <c r="D16" s="86">
        <f t="shared" si="6"/>
        <v>0</v>
      </c>
      <c r="E16" s="45">
        <f t="shared" si="7"/>
        <v>0</v>
      </c>
      <c r="F16" s="40">
        <f t="shared" si="8"/>
        <v>0</v>
      </c>
      <c r="G16" s="99"/>
      <c r="H16" s="99"/>
      <c r="L16" s="19"/>
    </row>
    <row r="17" spans="1:12" ht="15.75" x14ac:dyDescent="0.3">
      <c r="B17" s="46" t="s">
        <v>35</v>
      </c>
      <c r="C17" s="36" t="s">
        <v>429</v>
      </c>
      <c r="D17" s="86">
        <f t="shared" si="6"/>
        <v>126.49106215384616</v>
      </c>
      <c r="E17" s="45">
        <f t="shared" si="7"/>
        <v>0</v>
      </c>
      <c r="F17" s="40">
        <f t="shared" si="8"/>
        <v>0</v>
      </c>
      <c r="G17" s="99">
        <f>1.25*52</f>
        <v>65</v>
      </c>
      <c r="H17" s="99">
        <f>25*1.12*1.16+6+1/0.65*0.12*0.12*1.16*1.12*730+2</f>
        <v>61.491062153846158</v>
      </c>
      <c r="L17" s="19"/>
    </row>
    <row r="18" spans="1:12" ht="15.75" x14ac:dyDescent="0.3">
      <c r="B18" s="46" t="s">
        <v>35</v>
      </c>
      <c r="C18" s="36" t="s">
        <v>371</v>
      </c>
      <c r="D18" s="86">
        <f t="shared" si="6"/>
        <v>0</v>
      </c>
      <c r="E18" s="45">
        <f t="shared" si="7"/>
        <v>0</v>
      </c>
      <c r="F18" s="40">
        <f t="shared" si="8"/>
        <v>0</v>
      </c>
      <c r="G18" s="99"/>
      <c r="H18" s="99"/>
      <c r="L18" s="19"/>
    </row>
    <row r="19" spans="1:12" ht="15.75" x14ac:dyDescent="0.3">
      <c r="B19" s="46" t="s">
        <v>109</v>
      </c>
      <c r="C19" s="36" t="s">
        <v>384</v>
      </c>
      <c r="D19" s="86">
        <f t="shared" si="6"/>
        <v>0</v>
      </c>
      <c r="E19" s="45">
        <f t="shared" si="7"/>
        <v>0</v>
      </c>
      <c r="F19" s="40">
        <f t="shared" si="8"/>
        <v>0</v>
      </c>
      <c r="G19" s="99"/>
      <c r="H19" s="99"/>
      <c r="L19" s="19"/>
    </row>
    <row r="20" spans="1:12" ht="15.75" x14ac:dyDescent="0.3">
      <c r="B20" s="46" t="s">
        <v>109</v>
      </c>
      <c r="C20" s="36" t="s">
        <v>385</v>
      </c>
      <c r="D20" s="86">
        <f t="shared" ref="D20:D21" si="9">G20+H20</f>
        <v>0</v>
      </c>
      <c r="E20" s="45">
        <f t="shared" ref="E20:E21" si="10">D20*A20</f>
        <v>0</v>
      </c>
      <c r="F20" s="40">
        <f t="shared" ref="F20:F21" si="11">G20/50*A20</f>
        <v>0</v>
      </c>
      <c r="G20" s="99"/>
      <c r="H20" s="99"/>
      <c r="L20" s="19"/>
    </row>
    <row r="21" spans="1:12" ht="15.75" x14ac:dyDescent="0.3">
      <c r="D21" s="86">
        <f t="shared" si="9"/>
        <v>0</v>
      </c>
      <c r="E21" s="45">
        <f t="shared" si="10"/>
        <v>0</v>
      </c>
      <c r="F21" s="40">
        <f t="shared" si="11"/>
        <v>0</v>
      </c>
      <c r="G21" s="99"/>
      <c r="H21" s="99"/>
      <c r="L21" s="19"/>
    </row>
    <row r="22" spans="1:12" x14ac:dyDescent="0.25">
      <c r="D22" s="20"/>
      <c r="L22" s="19"/>
    </row>
    <row r="23" spans="1:12" x14ac:dyDescent="0.25">
      <c r="L23" s="19"/>
    </row>
    <row r="24" spans="1:12" x14ac:dyDescent="0.25">
      <c r="L24" s="19"/>
    </row>
    <row r="25" spans="1:12" x14ac:dyDescent="0.25">
      <c r="A25" s="103" t="s">
        <v>298</v>
      </c>
      <c r="L25" s="19"/>
    </row>
    <row r="26" spans="1:12" x14ac:dyDescent="0.25">
      <c r="G26" t="s">
        <v>301</v>
      </c>
      <c r="H26" s="100" t="s">
        <v>302</v>
      </c>
      <c r="L26" s="19"/>
    </row>
    <row r="27" spans="1:12" x14ac:dyDescent="0.25">
      <c r="A27" t="s">
        <v>303</v>
      </c>
      <c r="B27" t="s">
        <v>304</v>
      </c>
      <c r="D27" t="s">
        <v>305</v>
      </c>
      <c r="E27" s="20">
        <v>1</v>
      </c>
      <c r="F27" t="s">
        <v>122</v>
      </c>
      <c r="G27">
        <v>25</v>
      </c>
      <c r="H27">
        <v>1.18</v>
      </c>
      <c r="I27" s="20">
        <f>G27*E27*H27</f>
        <v>29.5</v>
      </c>
      <c r="L27" s="19"/>
    </row>
    <row r="28" spans="1:12" x14ac:dyDescent="0.25">
      <c r="B28" t="s">
        <v>306</v>
      </c>
      <c r="D28" t="s">
        <v>307</v>
      </c>
      <c r="E28" s="20">
        <f>0.06*0.08*3*4</f>
        <v>5.7599999999999998E-2</v>
      </c>
      <c r="F28" s="100" t="s">
        <v>77</v>
      </c>
      <c r="G28">
        <v>745</v>
      </c>
      <c r="H28">
        <v>1.18</v>
      </c>
      <c r="I28" s="20">
        <f>G28*E28*H28</f>
        <v>50.636159999999997</v>
      </c>
      <c r="L28" s="19"/>
    </row>
    <row r="29" spans="1:12" x14ac:dyDescent="0.25">
      <c r="B29" t="s">
        <v>308</v>
      </c>
      <c r="D29">
        <f>2.5*2</f>
        <v>5</v>
      </c>
      <c r="E29" s="20">
        <f>D29*1.15*0.03</f>
        <v>0.17249999999999999</v>
      </c>
      <c r="F29" s="100" t="s">
        <v>35</v>
      </c>
      <c r="G29">
        <f>745</f>
        <v>745</v>
      </c>
      <c r="H29">
        <v>1.18</v>
      </c>
      <c r="I29" s="20">
        <f>G29*E29*H29</f>
        <v>151.64474999999999</v>
      </c>
      <c r="L29" s="19"/>
    </row>
    <row r="30" spans="1:12" x14ac:dyDescent="0.25">
      <c r="B30" s="100" t="s">
        <v>309</v>
      </c>
      <c r="C30" s="100"/>
      <c r="D30" s="100"/>
      <c r="E30" s="20"/>
      <c r="F30" s="100" t="s">
        <v>35</v>
      </c>
      <c r="H30">
        <v>1.18</v>
      </c>
      <c r="I30" s="20"/>
      <c r="L30" s="19"/>
    </row>
    <row r="31" spans="1:12" x14ac:dyDescent="0.25">
      <c r="B31" s="100"/>
      <c r="E31" s="20"/>
      <c r="I31" s="101"/>
      <c r="L31" s="19"/>
    </row>
    <row r="32" spans="1:12" x14ac:dyDescent="0.25">
      <c r="E32" s="20"/>
      <c r="L32" s="19"/>
    </row>
    <row r="33" spans="1:23" x14ac:dyDescent="0.25">
      <c r="A33" s="100" t="s">
        <v>310</v>
      </c>
      <c r="E33" s="20"/>
      <c r="L33" s="19"/>
    </row>
    <row r="34" spans="1:23" x14ac:dyDescent="0.25">
      <c r="A34" s="100" t="s">
        <v>311</v>
      </c>
      <c r="C34" s="100" t="s">
        <v>312</v>
      </c>
      <c r="E34" s="20">
        <v>3</v>
      </c>
      <c r="G34">
        <v>55</v>
      </c>
      <c r="H34">
        <v>1.18</v>
      </c>
      <c r="I34">
        <f>E34*G34*H34</f>
        <v>194.7</v>
      </c>
      <c r="L34" s="19"/>
      <c r="N34" s="20"/>
    </row>
    <row r="35" spans="1:23" x14ac:dyDescent="0.25">
      <c r="A35" s="100" t="s">
        <v>313</v>
      </c>
      <c r="C35" s="100" t="s">
        <v>314</v>
      </c>
      <c r="E35" s="20">
        <v>2</v>
      </c>
      <c r="G35">
        <v>55</v>
      </c>
      <c r="H35">
        <v>1.18</v>
      </c>
      <c r="I35">
        <f>E35*G35*H35</f>
        <v>129.79999999999998</v>
      </c>
    </row>
    <row r="36" spans="1:23" x14ac:dyDescent="0.25">
      <c r="A36" s="100" t="s">
        <v>315</v>
      </c>
      <c r="C36" s="100" t="s">
        <v>314</v>
      </c>
      <c r="E36" s="20">
        <v>2</v>
      </c>
      <c r="G36">
        <v>58</v>
      </c>
      <c r="H36">
        <v>1.18</v>
      </c>
      <c r="I36">
        <f>E36*G36*H36</f>
        <v>136.88</v>
      </c>
    </row>
    <row r="37" spans="1:23" x14ac:dyDescent="0.25">
      <c r="E37" s="20"/>
    </row>
    <row r="38" spans="1:23" ht="15.75" x14ac:dyDescent="0.3">
      <c r="A38" s="100" t="s">
        <v>316</v>
      </c>
      <c r="C38" s="100" t="s">
        <v>317</v>
      </c>
      <c r="E38" s="20">
        <v>0.1</v>
      </c>
      <c r="G38">
        <v>15</v>
      </c>
      <c r="H38">
        <v>1.18</v>
      </c>
      <c r="I38">
        <f>E38*G38*H38</f>
        <v>1.77</v>
      </c>
      <c r="K38" s="1"/>
      <c r="L38" s="1"/>
      <c r="M38" s="1"/>
    </row>
    <row r="39" spans="1:23" x14ac:dyDescent="0.25">
      <c r="E39" s="20"/>
    </row>
    <row r="40" spans="1:23" ht="15.75" x14ac:dyDescent="0.3">
      <c r="D40" s="100" t="s">
        <v>318</v>
      </c>
      <c r="E40" s="20">
        <f>SUM(E34:E39)</f>
        <v>7.1</v>
      </c>
      <c r="F40" s="100" t="s">
        <v>319</v>
      </c>
      <c r="K40" s="142"/>
      <c r="L40" s="142"/>
      <c r="M40" s="142"/>
      <c r="N40" s="7"/>
      <c r="O40" s="142"/>
      <c r="P40" s="142"/>
      <c r="Q40" s="142"/>
      <c r="R40" s="1"/>
      <c r="S40" s="1"/>
      <c r="T40" s="7"/>
      <c r="U40" s="35"/>
      <c r="V40" s="15"/>
      <c r="W40" s="1"/>
    </row>
    <row r="41" spans="1:23" ht="15.75" x14ac:dyDescent="0.3">
      <c r="E41" s="20"/>
      <c r="K41" s="5"/>
      <c r="L41" s="5"/>
      <c r="M41" s="5"/>
      <c r="N41" s="1"/>
      <c r="O41" s="8"/>
      <c r="P41" s="143"/>
      <c r="Q41" s="143"/>
      <c r="R41" s="1"/>
      <c r="S41" s="1"/>
      <c r="T41" s="1"/>
      <c r="U41" s="15"/>
      <c r="V41" s="1"/>
      <c r="W41" s="1"/>
    </row>
    <row r="42" spans="1:23" ht="15.75" x14ac:dyDescent="0.3">
      <c r="A42" s="100"/>
      <c r="E42" s="2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3">
      <c r="A43" s="100" t="s">
        <v>320</v>
      </c>
      <c r="C43" s="100" t="s">
        <v>321</v>
      </c>
      <c r="E43" s="20">
        <v>0.5</v>
      </c>
      <c r="F43" s="100" t="s">
        <v>177</v>
      </c>
      <c r="G43">
        <v>40</v>
      </c>
      <c r="H43">
        <v>1.18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3">
      <c r="A44" s="100" t="s">
        <v>322</v>
      </c>
      <c r="E44" s="20"/>
      <c r="F44" s="100"/>
      <c r="I44">
        <v>25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3">
      <c r="E45" s="2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3">
      <c r="I46" s="102">
        <f>SUM(I27:I44)</f>
        <v>719.93090999999993</v>
      </c>
      <c r="J46" s="103" t="s">
        <v>323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3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3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10" ht="15.75" x14ac:dyDescent="0.3">
      <c r="A49" s="1"/>
    </row>
    <row r="50" spans="1:10" x14ac:dyDescent="0.25">
      <c r="A50" s="103" t="s">
        <v>324</v>
      </c>
    </row>
    <row r="51" spans="1:10" x14ac:dyDescent="0.25">
      <c r="G51" t="s">
        <v>301</v>
      </c>
      <c r="H51" s="100" t="s">
        <v>302</v>
      </c>
    </row>
    <row r="52" spans="1:10" x14ac:dyDescent="0.25">
      <c r="A52" t="s">
        <v>303</v>
      </c>
      <c r="B52" s="100" t="s">
        <v>325</v>
      </c>
      <c r="E52" s="19">
        <v>1.1499999999999999</v>
      </c>
      <c r="F52" s="100" t="s">
        <v>35</v>
      </c>
      <c r="G52" s="21">
        <v>32.15</v>
      </c>
      <c r="H52">
        <v>1.18</v>
      </c>
      <c r="I52" s="20">
        <f>G52*E52*H52</f>
        <v>43.627549999999992</v>
      </c>
    </row>
    <row r="53" spans="1:10" x14ac:dyDescent="0.25">
      <c r="B53" s="100" t="s">
        <v>326</v>
      </c>
      <c r="E53" s="104">
        <f>1/0.5*0.06*0.08*1.1</f>
        <v>1.056E-2</v>
      </c>
      <c r="F53" s="100" t="s">
        <v>77</v>
      </c>
      <c r="G53">
        <v>745</v>
      </c>
      <c r="H53">
        <v>1.18</v>
      </c>
      <c r="I53" s="20">
        <f>G53*E53*H53</f>
        <v>9.2832959999999982</v>
      </c>
    </row>
    <row r="54" spans="1:10" x14ac:dyDescent="0.25">
      <c r="B54" s="100" t="s">
        <v>327</v>
      </c>
      <c r="E54" s="104">
        <f>E53</f>
        <v>1.056E-2</v>
      </c>
      <c r="F54" s="100" t="s">
        <v>77</v>
      </c>
      <c r="G54">
        <v>745</v>
      </c>
      <c r="H54">
        <v>1.18</v>
      </c>
      <c r="I54" s="20">
        <f>G54*E54*H54</f>
        <v>9.2832959999999982</v>
      </c>
    </row>
    <row r="55" spans="1:10" x14ac:dyDescent="0.25">
      <c r="B55" s="100" t="s">
        <v>328</v>
      </c>
      <c r="E55" s="104">
        <f>1/0.5*1.05</f>
        <v>2.1</v>
      </c>
      <c r="F55" s="100" t="s">
        <v>24</v>
      </c>
      <c r="G55">
        <v>5</v>
      </c>
      <c r="H55">
        <v>1.18</v>
      </c>
      <c r="I55" s="20">
        <f>G55*E55*H55</f>
        <v>12.389999999999999</v>
      </c>
    </row>
    <row r="56" spans="1:10" x14ac:dyDescent="0.25">
      <c r="B56" s="100" t="s">
        <v>304</v>
      </c>
      <c r="E56" s="19"/>
      <c r="I56">
        <v>14</v>
      </c>
    </row>
    <row r="57" spans="1:10" x14ac:dyDescent="0.25">
      <c r="B57" s="100"/>
      <c r="E57" s="19"/>
      <c r="I57" s="20">
        <f>SUM(I52:J56)</f>
        <v>88.584141999999986</v>
      </c>
    </row>
    <row r="59" spans="1:10" x14ac:dyDescent="0.25">
      <c r="A59" s="100" t="s">
        <v>310</v>
      </c>
    </row>
    <row r="60" spans="1:10" x14ac:dyDescent="0.25">
      <c r="A60" s="100" t="s">
        <v>329</v>
      </c>
      <c r="B60" t="s">
        <v>330</v>
      </c>
      <c r="C60" s="100"/>
      <c r="E60">
        <v>0</v>
      </c>
      <c r="G60">
        <v>65</v>
      </c>
      <c r="H60">
        <v>1.18</v>
      </c>
      <c r="I60">
        <f>E60*G60*H60</f>
        <v>0</v>
      </c>
    </row>
    <row r="61" spans="1:10" x14ac:dyDescent="0.25">
      <c r="E61">
        <v>0</v>
      </c>
      <c r="G61">
        <v>55</v>
      </c>
      <c r="H61">
        <v>1.18</v>
      </c>
      <c r="I61">
        <f>E61*G61*H61</f>
        <v>0</v>
      </c>
    </row>
    <row r="62" spans="1:10" x14ac:dyDescent="0.25">
      <c r="I62">
        <f>SUM(I60:I61)</f>
        <v>0</v>
      </c>
      <c r="J62">
        <v>50</v>
      </c>
    </row>
    <row r="63" spans="1:10" x14ac:dyDescent="0.25">
      <c r="A63" s="100" t="s">
        <v>315</v>
      </c>
      <c r="C63" s="100"/>
      <c r="E63">
        <v>1.4</v>
      </c>
      <c r="G63">
        <v>55</v>
      </c>
      <c r="H63">
        <v>1</v>
      </c>
      <c r="I63">
        <f>E63*G63*H63</f>
        <v>77</v>
      </c>
    </row>
    <row r="65" spans="1:10" x14ac:dyDescent="0.25">
      <c r="A65" s="100" t="s">
        <v>316</v>
      </c>
      <c r="C65" s="100" t="s">
        <v>321</v>
      </c>
      <c r="E65">
        <v>0</v>
      </c>
      <c r="G65">
        <v>15</v>
      </c>
      <c r="H65">
        <v>1.18</v>
      </c>
      <c r="I65">
        <f>E65*G65*H65</f>
        <v>0</v>
      </c>
    </row>
    <row r="67" spans="1:10" x14ac:dyDescent="0.25">
      <c r="D67" s="100" t="s">
        <v>318</v>
      </c>
      <c r="E67">
        <f>SUM(E60:E66)</f>
        <v>1.4</v>
      </c>
      <c r="F67" s="100" t="s">
        <v>331</v>
      </c>
    </row>
    <row r="69" spans="1:10" x14ac:dyDescent="0.25">
      <c r="A69" s="100"/>
    </row>
    <row r="70" spans="1:10" x14ac:dyDescent="0.25">
      <c r="A70" s="100" t="s">
        <v>320</v>
      </c>
      <c r="C70" s="100" t="s">
        <v>321</v>
      </c>
      <c r="E70">
        <v>0.05</v>
      </c>
      <c r="F70" s="100" t="s">
        <v>177</v>
      </c>
      <c r="G70">
        <v>40</v>
      </c>
      <c r="H70">
        <v>1.18</v>
      </c>
    </row>
    <row r="71" spans="1:10" x14ac:dyDescent="0.25">
      <c r="F71" s="100"/>
    </row>
    <row r="73" spans="1:10" x14ac:dyDescent="0.25">
      <c r="I73" s="102">
        <f>I57+L62+I63+I65</f>
        <v>165.58414199999999</v>
      </c>
      <c r="J73" s="103" t="s">
        <v>82</v>
      </c>
    </row>
    <row r="75" spans="1:10" x14ac:dyDescent="0.25">
      <c r="A75" s="103" t="s">
        <v>299</v>
      </c>
    </row>
    <row r="77" spans="1:10" x14ac:dyDescent="0.25">
      <c r="A77" t="s">
        <v>78</v>
      </c>
      <c r="E77">
        <f>(2*2*9)/40</f>
        <v>0.9</v>
      </c>
      <c r="G77">
        <v>55</v>
      </c>
      <c r="H77">
        <v>1</v>
      </c>
      <c r="I77">
        <f>E77*G77</f>
        <v>49.5</v>
      </c>
    </row>
    <row r="78" spans="1:10" x14ac:dyDescent="0.25">
      <c r="A78" t="s">
        <v>348</v>
      </c>
      <c r="G78">
        <v>135</v>
      </c>
      <c r="H78">
        <v>1.18</v>
      </c>
      <c r="I78">
        <f>G78*H78</f>
        <v>159.29999999999998</v>
      </c>
      <c r="J78" s="105" t="s">
        <v>349</v>
      </c>
    </row>
    <row r="79" spans="1:10" x14ac:dyDescent="0.25">
      <c r="I79" s="48">
        <f>SUM(I77:I78)</f>
        <v>208.79999999999998</v>
      </c>
      <c r="J79" s="48" t="s">
        <v>347</v>
      </c>
    </row>
    <row r="84" spans="1:9" ht="15.75" x14ac:dyDescent="0.25">
      <c r="A84" s="107" t="s">
        <v>350</v>
      </c>
    </row>
    <row r="85" spans="1:9" x14ac:dyDescent="0.25">
      <c r="G85" t="s">
        <v>301</v>
      </c>
      <c r="H85" s="100" t="s">
        <v>302</v>
      </c>
    </row>
    <row r="86" spans="1:9" x14ac:dyDescent="0.25">
      <c r="A86" t="s">
        <v>303</v>
      </c>
      <c r="B86" t="s">
        <v>333</v>
      </c>
      <c r="D86" t="s">
        <v>334</v>
      </c>
      <c r="E86" s="19">
        <v>1</v>
      </c>
      <c r="F86" t="s">
        <v>109</v>
      </c>
      <c r="G86">
        <v>30</v>
      </c>
      <c r="H86">
        <v>1.18</v>
      </c>
      <c r="I86" s="20">
        <f t="shared" ref="I86:I91" si="12">G86*E86*H86</f>
        <v>35.4</v>
      </c>
    </row>
    <row r="87" spans="1:9" x14ac:dyDescent="0.25">
      <c r="B87" t="s">
        <v>335</v>
      </c>
      <c r="D87" t="s">
        <v>336</v>
      </c>
      <c r="E87" s="104">
        <f>0.1*0.1*1.33*1.05</f>
        <v>1.3965000000000003E-2</v>
      </c>
      <c r="F87" s="100" t="s">
        <v>77</v>
      </c>
      <c r="G87">
        <v>750</v>
      </c>
      <c r="H87">
        <v>1.18</v>
      </c>
      <c r="I87" s="20">
        <f t="shared" si="12"/>
        <v>12.359025000000003</v>
      </c>
    </row>
    <row r="88" spans="1:9" x14ac:dyDescent="0.25">
      <c r="B88" t="s">
        <v>351</v>
      </c>
      <c r="D88" t="s">
        <v>307</v>
      </c>
      <c r="E88" s="104">
        <f>0.06*0.08*2.1</f>
        <v>1.0079999999999999E-2</v>
      </c>
      <c r="F88" s="100" t="s">
        <v>77</v>
      </c>
      <c r="G88">
        <v>750</v>
      </c>
      <c r="H88">
        <v>1.18</v>
      </c>
      <c r="I88" s="20">
        <f t="shared" si="12"/>
        <v>8.9207999999999981</v>
      </c>
    </row>
    <row r="89" spans="1:9" x14ac:dyDescent="0.25">
      <c r="B89" t="s">
        <v>352</v>
      </c>
      <c r="D89" t="s">
        <v>353</v>
      </c>
      <c r="E89" s="104">
        <f>6*1.33*1.05*0.03*0.16</f>
        <v>4.0219200000000004E-2</v>
      </c>
      <c r="F89" s="100" t="s">
        <v>77</v>
      </c>
      <c r="G89">
        <v>750</v>
      </c>
      <c r="H89">
        <v>1.18</v>
      </c>
      <c r="I89" s="20">
        <f t="shared" si="12"/>
        <v>35.593992</v>
      </c>
    </row>
    <row r="90" spans="1:9" x14ac:dyDescent="0.25">
      <c r="B90" t="s">
        <v>354</v>
      </c>
      <c r="D90" t="s">
        <v>355</v>
      </c>
      <c r="E90" s="104">
        <f>1*1.05*0.03*0.16</f>
        <v>5.0400000000000002E-3</v>
      </c>
      <c r="F90" s="100" t="s">
        <v>77</v>
      </c>
      <c r="G90">
        <f>G89</f>
        <v>750</v>
      </c>
      <c r="H90">
        <v>1.18</v>
      </c>
      <c r="I90" s="20">
        <f t="shared" si="12"/>
        <v>4.4603999999999999</v>
      </c>
    </row>
    <row r="91" spans="1:9" x14ac:dyDescent="0.25">
      <c r="B91" t="s">
        <v>356</v>
      </c>
      <c r="D91" t="s">
        <v>355</v>
      </c>
      <c r="E91" s="104">
        <f>1*1.05*0.03*0.16</f>
        <v>5.0400000000000002E-3</v>
      </c>
      <c r="F91" s="100" t="s">
        <v>77</v>
      </c>
      <c r="G91">
        <f>G90</f>
        <v>750</v>
      </c>
      <c r="H91">
        <v>1.18</v>
      </c>
      <c r="I91" s="20">
        <f t="shared" si="12"/>
        <v>4.4603999999999999</v>
      </c>
    </row>
    <row r="92" spans="1:9" x14ac:dyDescent="0.25">
      <c r="B92" s="100" t="s">
        <v>357</v>
      </c>
      <c r="D92" t="s">
        <v>355</v>
      </c>
      <c r="E92" s="19"/>
    </row>
    <row r="93" spans="1:9" x14ac:dyDescent="0.25">
      <c r="B93" s="100" t="s">
        <v>462</v>
      </c>
      <c r="D93" t="s">
        <v>355</v>
      </c>
      <c r="E93" s="19">
        <f>0.26</f>
        <v>0.26</v>
      </c>
      <c r="F93" s="100" t="s">
        <v>35</v>
      </c>
      <c r="G93">
        <v>20</v>
      </c>
      <c r="H93">
        <v>1.1499999999999999</v>
      </c>
      <c r="I93" s="20">
        <f>E93*G93*H93</f>
        <v>5.9799999999999995</v>
      </c>
    </row>
    <row r="94" spans="1:9" x14ac:dyDescent="0.25">
      <c r="B94" s="100" t="s">
        <v>463</v>
      </c>
      <c r="E94" s="19">
        <v>0.3</v>
      </c>
      <c r="F94" s="100" t="s">
        <v>35</v>
      </c>
      <c r="G94">
        <v>20</v>
      </c>
      <c r="H94">
        <f>1.15</f>
        <v>1.1499999999999999</v>
      </c>
      <c r="I94" s="20">
        <f>E94*G94*H94</f>
        <v>6.8999999999999995</v>
      </c>
    </row>
    <row r="95" spans="1:9" x14ac:dyDescent="0.25">
      <c r="B95" s="100" t="s">
        <v>304</v>
      </c>
      <c r="E95" s="19"/>
      <c r="I95">
        <v>15</v>
      </c>
    </row>
    <row r="96" spans="1:9" x14ac:dyDescent="0.25">
      <c r="B96" s="100"/>
      <c r="E96" s="19"/>
    </row>
    <row r="97" spans="1:10" x14ac:dyDescent="0.25">
      <c r="B97" s="106" t="s">
        <v>358</v>
      </c>
      <c r="E97" s="19"/>
    </row>
    <row r="98" spans="1:10" x14ac:dyDescent="0.25">
      <c r="B98" s="100" t="s">
        <v>359</v>
      </c>
      <c r="D98" s="100" t="s">
        <v>360</v>
      </c>
      <c r="E98" s="19">
        <v>1.25</v>
      </c>
      <c r="G98">
        <v>5.5</v>
      </c>
      <c r="H98">
        <v>1.18</v>
      </c>
      <c r="J98" s="20">
        <f>E98*G98*H98</f>
        <v>8.1124999999999989</v>
      </c>
    </row>
    <row r="99" spans="1:10" x14ac:dyDescent="0.25">
      <c r="B99" s="100" t="s">
        <v>361</v>
      </c>
      <c r="D99" s="100"/>
      <c r="E99" s="19"/>
      <c r="J99" s="20">
        <v>1.3</v>
      </c>
    </row>
    <row r="100" spans="1:10" x14ac:dyDescent="0.25">
      <c r="B100" s="100" t="s">
        <v>362</v>
      </c>
      <c r="D100" s="100" t="s">
        <v>363</v>
      </c>
      <c r="E100" s="19">
        <f>0.03*0.25*1.1</f>
        <v>8.2500000000000004E-3</v>
      </c>
      <c r="F100" s="100" t="s">
        <v>281</v>
      </c>
      <c r="G100">
        <f>G91</f>
        <v>750</v>
      </c>
      <c r="H100">
        <v>1.18</v>
      </c>
      <c r="J100" s="20">
        <f>E100*G100*H100</f>
        <v>7.3012499999999996</v>
      </c>
    </row>
    <row r="101" spans="1:10" x14ac:dyDescent="0.25">
      <c r="B101" s="100" t="s">
        <v>364</v>
      </c>
      <c r="D101" s="100" t="s">
        <v>363</v>
      </c>
      <c r="E101" s="19">
        <f>0.03*0.16*1.1</f>
        <v>5.28E-3</v>
      </c>
      <c r="F101" s="100" t="s">
        <v>281</v>
      </c>
      <c r="G101">
        <f>G91</f>
        <v>750</v>
      </c>
      <c r="H101">
        <v>1.18</v>
      </c>
      <c r="J101" s="20">
        <f>E101*G101*H101</f>
        <v>4.6727999999999996</v>
      </c>
    </row>
    <row r="102" spans="1:10" x14ac:dyDescent="0.25">
      <c r="B102" s="100"/>
      <c r="D102" s="100"/>
      <c r="E102" s="19"/>
      <c r="F102" s="100"/>
      <c r="I102" s="20"/>
    </row>
    <row r="103" spans="1:10" x14ac:dyDescent="0.25">
      <c r="E103" s="104">
        <f>SUM(E88:E92)+E100</f>
        <v>6.8629200000000001E-2</v>
      </c>
      <c r="F103" s="100" t="s">
        <v>281</v>
      </c>
    </row>
    <row r="105" spans="1:10" x14ac:dyDescent="0.25">
      <c r="B105" s="100" t="s">
        <v>365</v>
      </c>
      <c r="C105" s="100" t="s">
        <v>366</v>
      </c>
      <c r="D105" s="100" t="s">
        <v>355</v>
      </c>
      <c r="E105">
        <f>1.05*0.22</f>
        <v>0.23100000000000001</v>
      </c>
      <c r="F105" s="100" t="s">
        <v>35</v>
      </c>
      <c r="G105">
        <v>19</v>
      </c>
      <c r="H105">
        <v>1.18</v>
      </c>
      <c r="I105" s="20"/>
    </row>
    <row r="106" spans="1:10" x14ac:dyDescent="0.25">
      <c r="B106" s="100" t="s">
        <v>367</v>
      </c>
      <c r="G106">
        <v>15</v>
      </c>
    </row>
    <row r="108" spans="1:10" x14ac:dyDescent="0.25">
      <c r="A108" s="100" t="s">
        <v>310</v>
      </c>
    </row>
    <row r="109" spans="1:10" x14ac:dyDescent="0.25">
      <c r="A109" s="100" t="s">
        <v>329</v>
      </c>
      <c r="C109" s="100" t="s">
        <v>368</v>
      </c>
      <c r="E109">
        <v>2.65</v>
      </c>
      <c r="G109">
        <v>52</v>
      </c>
      <c r="H109">
        <v>1.18</v>
      </c>
      <c r="I109">
        <f>E109*G109*H109</f>
        <v>162.60399999999998</v>
      </c>
    </row>
    <row r="111" spans="1:10" x14ac:dyDescent="0.25">
      <c r="A111" s="100" t="s">
        <v>315</v>
      </c>
      <c r="C111" s="100" t="s">
        <v>369</v>
      </c>
      <c r="E111">
        <v>1.25</v>
      </c>
      <c r="G111">
        <v>52</v>
      </c>
      <c r="H111">
        <v>1.18</v>
      </c>
      <c r="J111">
        <f>E111*G111*H111</f>
        <v>76.7</v>
      </c>
    </row>
    <row r="113" spans="1:10" x14ac:dyDescent="0.25">
      <c r="A113" s="100" t="s">
        <v>316</v>
      </c>
      <c r="C113" s="100" t="s">
        <v>346</v>
      </c>
      <c r="E113">
        <v>0.45</v>
      </c>
      <c r="G113">
        <v>15</v>
      </c>
      <c r="H113">
        <v>1.18</v>
      </c>
      <c r="I113">
        <f>E113*G113*H113</f>
        <v>7.9649999999999999</v>
      </c>
    </row>
    <row r="115" spans="1:10" x14ac:dyDescent="0.25">
      <c r="D115" s="100" t="s">
        <v>318</v>
      </c>
      <c r="E115">
        <f>SUM(E109:E114)</f>
        <v>4.3499999999999996</v>
      </c>
      <c r="F115" s="100" t="s">
        <v>319</v>
      </c>
    </row>
    <row r="117" spans="1:10" x14ac:dyDescent="0.25">
      <c r="A117" s="100"/>
    </row>
    <row r="118" spans="1:10" x14ac:dyDescent="0.25">
      <c r="A118" s="100" t="s">
        <v>320</v>
      </c>
      <c r="C118" s="100" t="s">
        <v>321</v>
      </c>
      <c r="E118">
        <v>0.5</v>
      </c>
      <c r="F118" s="100" t="s">
        <v>177</v>
      </c>
      <c r="G118">
        <v>40</v>
      </c>
      <c r="H118">
        <v>1.18</v>
      </c>
      <c r="I118">
        <f>E118*G118*H118</f>
        <v>23.599999999999998</v>
      </c>
    </row>
    <row r="119" spans="1:10" x14ac:dyDescent="0.25">
      <c r="F119" s="100"/>
    </row>
    <row r="121" spans="1:10" x14ac:dyDescent="0.25">
      <c r="I121" s="102">
        <f>SUM(I86:I119)</f>
        <v>323.24361699999997</v>
      </c>
      <c r="J121" s="103" t="s">
        <v>347</v>
      </c>
    </row>
    <row r="125" spans="1:10" x14ac:dyDescent="0.25">
      <c r="A125" s="103" t="s">
        <v>371</v>
      </c>
    </row>
    <row r="126" spans="1:10" x14ac:dyDescent="0.25">
      <c r="G126" t="s">
        <v>301</v>
      </c>
      <c r="H126" s="100" t="s">
        <v>302</v>
      </c>
    </row>
    <row r="127" spans="1:10" x14ac:dyDescent="0.25">
      <c r="A127" t="s">
        <v>303</v>
      </c>
      <c r="B127" s="100" t="s">
        <v>372</v>
      </c>
      <c r="E127" s="20">
        <f>0.03*0.08*3*32</f>
        <v>0.23039999999999999</v>
      </c>
      <c r="F127" s="100" t="s">
        <v>77</v>
      </c>
      <c r="G127">
        <v>745</v>
      </c>
      <c r="H127">
        <v>1.18</v>
      </c>
      <c r="I127" s="20">
        <f>G127*E127*H127</f>
        <v>202.54463999999999</v>
      </c>
    </row>
    <row r="128" spans="1:10" x14ac:dyDescent="0.25">
      <c r="B128" s="100" t="s">
        <v>373</v>
      </c>
      <c r="E128" s="20">
        <f>3*0.06*0.08*2</f>
        <v>2.8799999999999999E-2</v>
      </c>
      <c r="F128" s="100" t="s">
        <v>77</v>
      </c>
      <c r="G128">
        <v>745</v>
      </c>
      <c r="H128">
        <v>1.18</v>
      </c>
      <c r="I128" s="20">
        <f>G128*E128*H128</f>
        <v>25.318079999999998</v>
      </c>
      <c r="J128" s="20">
        <f>SUM(I127:I129)+I136+I142</f>
        <v>292.15271999999999</v>
      </c>
    </row>
    <row r="129" spans="1:10" x14ac:dyDescent="0.25">
      <c r="B129" s="100" t="s">
        <v>304</v>
      </c>
      <c r="D129" s="100" t="s">
        <v>305</v>
      </c>
      <c r="E129" s="20"/>
      <c r="I129">
        <f>36*4*0.33</f>
        <v>47.52</v>
      </c>
    </row>
    <row r="130" spans="1:10" x14ac:dyDescent="0.25">
      <c r="E130" s="20"/>
    </row>
    <row r="131" spans="1:10" x14ac:dyDescent="0.25">
      <c r="A131" s="100" t="s">
        <v>310</v>
      </c>
      <c r="E131" s="20"/>
    </row>
    <row r="132" spans="1:10" x14ac:dyDescent="0.25">
      <c r="A132" s="100" t="s">
        <v>374</v>
      </c>
      <c r="C132" s="100" t="s">
        <v>375</v>
      </c>
      <c r="E132" s="20">
        <v>4</v>
      </c>
      <c r="G132">
        <v>55</v>
      </c>
      <c r="H132">
        <v>1.18</v>
      </c>
      <c r="I132">
        <f>E132*G132*H132</f>
        <v>259.59999999999997</v>
      </c>
    </row>
    <row r="133" spans="1:10" x14ac:dyDescent="0.25">
      <c r="A133" s="100" t="s">
        <v>313</v>
      </c>
      <c r="C133" s="100"/>
      <c r="E133" s="20"/>
      <c r="J133">
        <f>SUM(I132:I134)</f>
        <v>389.4</v>
      </c>
    </row>
    <row r="134" spans="1:10" x14ac:dyDescent="0.25">
      <c r="A134" s="100" t="s">
        <v>315</v>
      </c>
      <c r="C134" s="100" t="s">
        <v>314</v>
      </c>
      <c r="E134" s="20">
        <v>2</v>
      </c>
      <c r="G134">
        <v>55</v>
      </c>
      <c r="H134">
        <v>1.18</v>
      </c>
      <c r="I134">
        <f>E134*G134*H134</f>
        <v>129.79999999999998</v>
      </c>
    </row>
    <row r="135" spans="1:10" x14ac:dyDescent="0.25">
      <c r="E135" s="20"/>
    </row>
    <row r="136" spans="1:10" x14ac:dyDescent="0.25">
      <c r="A136" s="100" t="s">
        <v>316</v>
      </c>
      <c r="C136" s="100" t="s">
        <v>317</v>
      </c>
      <c r="E136" s="20">
        <v>0.1</v>
      </c>
      <c r="G136">
        <v>15</v>
      </c>
      <c r="H136">
        <v>1.18</v>
      </c>
      <c r="I136">
        <f>E136*G136*H136</f>
        <v>1.77</v>
      </c>
    </row>
    <row r="137" spans="1:10" x14ac:dyDescent="0.25">
      <c r="E137" s="20"/>
    </row>
    <row r="138" spans="1:10" x14ac:dyDescent="0.25">
      <c r="D138" s="100" t="s">
        <v>318</v>
      </c>
      <c r="E138" s="20">
        <f>SUM(E132:E137)</f>
        <v>6.1</v>
      </c>
      <c r="F138" s="100" t="s">
        <v>319</v>
      </c>
    </row>
    <row r="139" spans="1:10" x14ac:dyDescent="0.25">
      <c r="E139" s="20"/>
    </row>
    <row r="140" spans="1:10" x14ac:dyDescent="0.25">
      <c r="A140" s="100"/>
      <c r="E140" s="20"/>
    </row>
    <row r="141" spans="1:10" x14ac:dyDescent="0.25">
      <c r="A141" s="100" t="s">
        <v>320</v>
      </c>
      <c r="C141" s="100" t="s">
        <v>321</v>
      </c>
      <c r="E141" s="20">
        <v>0.5</v>
      </c>
      <c r="F141" s="100" t="s">
        <v>177</v>
      </c>
      <c r="G141">
        <v>40</v>
      </c>
      <c r="H141">
        <v>1.18</v>
      </c>
    </row>
    <row r="142" spans="1:10" x14ac:dyDescent="0.25">
      <c r="A142" s="100" t="s">
        <v>322</v>
      </c>
      <c r="E142" s="20"/>
      <c r="F142" s="100"/>
      <c r="I142">
        <v>15</v>
      </c>
    </row>
    <row r="143" spans="1:10" x14ac:dyDescent="0.25">
      <c r="E143" s="20"/>
    </row>
    <row r="144" spans="1:10" x14ac:dyDescent="0.25">
      <c r="I144" s="102">
        <f>SUM(I127:I142)</f>
        <v>681.55271999999991</v>
      </c>
      <c r="J144" s="103" t="s">
        <v>323</v>
      </c>
    </row>
    <row r="147" spans="1:10" x14ac:dyDescent="0.25">
      <c r="A147" s="48"/>
    </row>
    <row r="148" spans="1:10" x14ac:dyDescent="0.25">
      <c r="A148" s="103" t="s">
        <v>376</v>
      </c>
    </row>
    <row r="150" spans="1:10" x14ac:dyDescent="0.25">
      <c r="A150" t="s">
        <v>303</v>
      </c>
      <c r="B150" s="100" t="s">
        <v>377</v>
      </c>
      <c r="D150" t="s">
        <v>305</v>
      </c>
      <c r="E150" s="20">
        <v>1</v>
      </c>
      <c r="F150" t="s">
        <v>122</v>
      </c>
      <c r="G150">
        <v>70</v>
      </c>
      <c r="H150">
        <v>1.18</v>
      </c>
      <c r="I150" s="20">
        <f>G150*E150*H150</f>
        <v>82.6</v>
      </c>
    </row>
    <row r="151" spans="1:10" x14ac:dyDescent="0.25">
      <c r="B151" s="100" t="s">
        <v>378</v>
      </c>
      <c r="E151" s="20">
        <v>45</v>
      </c>
      <c r="F151" s="100" t="s">
        <v>24</v>
      </c>
      <c r="G151">
        <v>3</v>
      </c>
      <c r="H151">
        <v>1.18</v>
      </c>
      <c r="I151" s="20">
        <f>G151*E151*H151</f>
        <v>159.29999999999998</v>
      </c>
    </row>
    <row r="152" spans="1:10" x14ac:dyDescent="0.25">
      <c r="B152" s="100" t="s">
        <v>373</v>
      </c>
      <c r="E152" s="20">
        <f>2*0.06*0.08*4</f>
        <v>3.8399999999999997E-2</v>
      </c>
      <c r="F152" s="100" t="s">
        <v>77</v>
      </c>
      <c r="G152">
        <v>745</v>
      </c>
      <c r="H152">
        <v>1.18</v>
      </c>
      <c r="I152" s="20">
        <f>G152*E152*H152</f>
        <v>33.757439999999995</v>
      </c>
    </row>
    <row r="153" spans="1:10" x14ac:dyDescent="0.25">
      <c r="B153" s="100" t="s">
        <v>379</v>
      </c>
      <c r="D153" s="100"/>
      <c r="E153" s="20"/>
      <c r="I153">
        <f>23*1.18</f>
        <v>27.139999999999997</v>
      </c>
    </row>
    <row r="154" spans="1:10" x14ac:dyDescent="0.25">
      <c r="E154" s="20"/>
      <c r="J154" s="20">
        <f>SUM(I150:I153)+I166+I160</f>
        <v>319.56743999999992</v>
      </c>
    </row>
    <row r="155" spans="1:10" x14ac:dyDescent="0.25">
      <c r="A155" s="100" t="s">
        <v>310</v>
      </c>
      <c r="E155" s="20"/>
    </row>
    <row r="156" spans="1:10" x14ac:dyDescent="0.25">
      <c r="A156" s="100" t="s">
        <v>374</v>
      </c>
      <c r="C156" s="100" t="s">
        <v>312</v>
      </c>
      <c r="E156" s="20">
        <v>5</v>
      </c>
      <c r="G156">
        <v>55</v>
      </c>
      <c r="H156">
        <v>1.18</v>
      </c>
      <c r="I156">
        <f>E156*G156*H156</f>
        <v>324.5</v>
      </c>
    </row>
    <row r="157" spans="1:10" x14ac:dyDescent="0.25">
      <c r="A157" s="100" t="s">
        <v>313</v>
      </c>
      <c r="C157" s="100"/>
      <c r="E157" s="20"/>
    </row>
    <row r="158" spans="1:10" x14ac:dyDescent="0.25">
      <c r="A158" s="100" t="s">
        <v>315</v>
      </c>
      <c r="C158" s="100" t="s">
        <v>314</v>
      </c>
      <c r="E158" s="20">
        <v>2</v>
      </c>
      <c r="G158">
        <v>55</v>
      </c>
      <c r="H158">
        <v>1.18</v>
      </c>
      <c r="I158">
        <f>E158*G158*H158</f>
        <v>129.79999999999998</v>
      </c>
      <c r="J158">
        <f>SUM(I156:I158)</f>
        <v>454.29999999999995</v>
      </c>
    </row>
    <row r="159" spans="1:10" x14ac:dyDescent="0.25">
      <c r="E159" s="20"/>
    </row>
    <row r="160" spans="1:10" x14ac:dyDescent="0.25">
      <c r="A160" s="100" t="s">
        <v>316</v>
      </c>
      <c r="C160" s="100" t="s">
        <v>317</v>
      </c>
      <c r="E160" s="20">
        <v>0.1</v>
      </c>
      <c r="G160">
        <v>15</v>
      </c>
      <c r="H160">
        <v>1.18</v>
      </c>
      <c r="I160">
        <f>E160*G160*H160</f>
        <v>1.77</v>
      </c>
    </row>
    <row r="161" spans="1:10" x14ac:dyDescent="0.25">
      <c r="E161" s="20"/>
    </row>
    <row r="162" spans="1:10" x14ac:dyDescent="0.25">
      <c r="D162" s="100" t="s">
        <v>318</v>
      </c>
      <c r="E162" s="20">
        <f>SUM(E156:E161)</f>
        <v>7.1</v>
      </c>
      <c r="F162" s="100" t="s">
        <v>319</v>
      </c>
    </row>
    <row r="163" spans="1:10" x14ac:dyDescent="0.25">
      <c r="E163" s="20"/>
    </row>
    <row r="164" spans="1:10" x14ac:dyDescent="0.25">
      <c r="A164" s="100"/>
      <c r="E164" s="20"/>
    </row>
    <row r="165" spans="1:10" x14ac:dyDescent="0.25">
      <c r="A165" s="100" t="s">
        <v>320</v>
      </c>
      <c r="C165" s="100" t="s">
        <v>321</v>
      </c>
      <c r="E165" s="20">
        <v>0.5</v>
      </c>
      <c r="F165" s="100" t="s">
        <v>177</v>
      </c>
      <c r="G165">
        <v>40</v>
      </c>
      <c r="H165">
        <v>1.18</v>
      </c>
    </row>
    <row r="166" spans="1:10" x14ac:dyDescent="0.25">
      <c r="A166" s="100" t="s">
        <v>322</v>
      </c>
      <c r="E166" s="20"/>
      <c r="F166" s="100"/>
      <c r="I166">
        <v>15</v>
      </c>
    </row>
    <row r="167" spans="1:10" x14ac:dyDescent="0.25">
      <c r="E167" s="20"/>
    </row>
    <row r="168" spans="1:10" x14ac:dyDescent="0.25">
      <c r="I168" s="102">
        <f>SUM(I150:I166)</f>
        <v>773.86743999999987</v>
      </c>
      <c r="J168" s="103" t="s">
        <v>323</v>
      </c>
    </row>
    <row r="171" spans="1:10" x14ac:dyDescent="0.25">
      <c r="A171" s="103" t="s">
        <v>380</v>
      </c>
    </row>
    <row r="173" spans="1:10" x14ac:dyDescent="0.25">
      <c r="A173" t="s">
        <v>303</v>
      </c>
      <c r="B173" s="100" t="s">
        <v>377</v>
      </c>
      <c r="D173" t="s">
        <v>305</v>
      </c>
      <c r="E173" s="20">
        <v>1</v>
      </c>
      <c r="F173" t="s">
        <v>122</v>
      </c>
      <c r="G173">
        <v>200</v>
      </c>
      <c r="H173">
        <v>1.18</v>
      </c>
      <c r="I173" s="20">
        <f>G173*E173*H173</f>
        <v>236</v>
      </c>
    </row>
    <row r="174" spans="1:10" x14ac:dyDescent="0.25">
      <c r="B174" s="100" t="s">
        <v>381</v>
      </c>
      <c r="E174" s="20">
        <f>5*0.6*4*0.06</f>
        <v>0.72</v>
      </c>
      <c r="F174" s="100" t="s">
        <v>77</v>
      </c>
      <c r="G174">
        <v>745</v>
      </c>
      <c r="H174">
        <v>1.18</v>
      </c>
      <c r="I174" s="20">
        <f>G174*E174*H174</f>
        <v>632.95199999999988</v>
      </c>
    </row>
    <row r="175" spans="1:10" x14ac:dyDescent="0.25">
      <c r="B175" s="100" t="s">
        <v>373</v>
      </c>
      <c r="E175" s="20">
        <f>2*0.06*0.08*4</f>
        <v>3.8399999999999997E-2</v>
      </c>
      <c r="F175" s="100" t="s">
        <v>77</v>
      </c>
      <c r="G175">
        <v>745</v>
      </c>
      <c r="H175">
        <v>1.18</v>
      </c>
      <c r="I175" s="20"/>
    </row>
    <row r="176" spans="1:10" x14ac:dyDescent="0.25">
      <c r="B176" s="100"/>
      <c r="D176" s="100"/>
      <c r="E176" s="20"/>
    </row>
    <row r="177" spans="1:10" x14ac:dyDescent="0.25">
      <c r="E177" s="20"/>
    </row>
    <row r="178" spans="1:10" x14ac:dyDescent="0.25">
      <c r="A178" s="100" t="s">
        <v>310</v>
      </c>
      <c r="E178" s="20"/>
    </row>
    <row r="179" spans="1:10" x14ac:dyDescent="0.25">
      <c r="A179" s="100" t="s">
        <v>374</v>
      </c>
      <c r="C179" s="100" t="s">
        <v>312</v>
      </c>
      <c r="E179" s="20">
        <v>10</v>
      </c>
      <c r="G179">
        <v>55</v>
      </c>
      <c r="H179">
        <v>1.18</v>
      </c>
      <c r="I179">
        <f>E179*G179*H179</f>
        <v>649</v>
      </c>
    </row>
    <row r="180" spans="1:10" x14ac:dyDescent="0.25">
      <c r="A180" s="100" t="s">
        <v>313</v>
      </c>
      <c r="C180" s="100"/>
      <c r="E180" s="20"/>
    </row>
    <row r="181" spans="1:10" x14ac:dyDescent="0.25">
      <c r="A181" s="100" t="s">
        <v>315</v>
      </c>
      <c r="C181" s="100" t="s">
        <v>314</v>
      </c>
      <c r="E181" s="20">
        <v>6</v>
      </c>
      <c r="G181">
        <v>55</v>
      </c>
      <c r="H181">
        <v>1.18</v>
      </c>
      <c r="I181">
        <f>E181*G181*H181</f>
        <v>389.4</v>
      </c>
    </row>
    <row r="182" spans="1:10" x14ac:dyDescent="0.25">
      <c r="E182" s="20"/>
    </row>
    <row r="183" spans="1:10" x14ac:dyDescent="0.25">
      <c r="A183" s="100" t="s">
        <v>316</v>
      </c>
      <c r="C183" s="100" t="s">
        <v>317</v>
      </c>
      <c r="E183" s="20">
        <v>0.1</v>
      </c>
      <c r="G183">
        <v>15</v>
      </c>
      <c r="H183">
        <v>1.18</v>
      </c>
      <c r="I183">
        <f>E183*G183*H183</f>
        <v>1.77</v>
      </c>
    </row>
    <row r="184" spans="1:10" x14ac:dyDescent="0.25">
      <c r="E184" s="20"/>
    </row>
    <row r="185" spans="1:10" x14ac:dyDescent="0.25">
      <c r="D185" s="100" t="s">
        <v>318</v>
      </c>
      <c r="E185" s="20">
        <f>SUM(E179:E184)</f>
        <v>16.100000000000001</v>
      </c>
      <c r="F185" s="100" t="s">
        <v>319</v>
      </c>
    </row>
    <row r="186" spans="1:10" x14ac:dyDescent="0.25">
      <c r="E186" s="20"/>
    </row>
    <row r="187" spans="1:10" x14ac:dyDescent="0.25">
      <c r="A187" s="100"/>
      <c r="E187" s="20"/>
    </row>
    <row r="188" spans="1:10" x14ac:dyDescent="0.25">
      <c r="A188" s="100" t="s">
        <v>320</v>
      </c>
      <c r="C188" s="100" t="s">
        <v>321</v>
      </c>
      <c r="E188" s="20">
        <v>0.5</v>
      </c>
      <c r="F188" s="100" t="s">
        <v>177</v>
      </c>
      <c r="G188">
        <v>40</v>
      </c>
      <c r="H188">
        <v>1.18</v>
      </c>
    </row>
    <row r="189" spans="1:10" x14ac:dyDescent="0.25">
      <c r="A189" s="100" t="s">
        <v>322</v>
      </c>
      <c r="E189" s="20"/>
      <c r="F189" s="100"/>
      <c r="I189">
        <v>15</v>
      </c>
    </row>
    <row r="190" spans="1:10" x14ac:dyDescent="0.25">
      <c r="E190" s="20"/>
    </row>
    <row r="191" spans="1:10" x14ac:dyDescent="0.25">
      <c r="I191" s="102">
        <f>SUM(I173:I189)</f>
        <v>1924.1219999999998</v>
      </c>
      <c r="J191" s="103" t="s">
        <v>323</v>
      </c>
    </row>
  </sheetData>
  <mergeCells count="3">
    <mergeCell ref="K40:M40"/>
    <mergeCell ref="O40:Q40"/>
    <mergeCell ref="P41:Q41"/>
  </mergeCells>
  <phoneticPr fontId="2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40"/>
  <sheetViews>
    <sheetView zoomScaleNormal="100" workbookViewId="0">
      <selection activeCell="H3" sqref="G3:H3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3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3" ht="15.75" x14ac:dyDescent="0.3">
      <c r="A2" s="91"/>
      <c r="C2" s="48" t="s">
        <v>300</v>
      </c>
      <c r="D2" s="70"/>
      <c r="E2" s="34"/>
      <c r="F2" s="94"/>
      <c r="G2" s="87"/>
      <c r="H2" s="87"/>
      <c r="I2" s="20"/>
      <c r="J2" s="20"/>
      <c r="K2" s="20"/>
      <c r="L2" s="20"/>
      <c r="M2" s="20"/>
    </row>
    <row r="3" spans="1:13" ht="15.75" x14ac:dyDescent="0.3">
      <c r="A3" s="40">
        <v>0</v>
      </c>
      <c r="B3" s="46" t="s">
        <v>24</v>
      </c>
      <c r="C3" s="36" t="s">
        <v>382</v>
      </c>
      <c r="D3" s="86">
        <f t="shared" ref="D3" si="0">G3+H3</f>
        <v>312.74</v>
      </c>
      <c r="E3" s="45">
        <f t="shared" ref="E3" si="1">D3*A3</f>
        <v>0</v>
      </c>
      <c r="F3" s="40">
        <f t="shared" ref="F3" si="2">G3/50*A3</f>
        <v>0</v>
      </c>
      <c r="G3" s="99">
        <f>3.96*50</f>
        <v>198</v>
      </c>
      <c r="H3" s="99">
        <f>312.74-G3</f>
        <v>114.74000000000001</v>
      </c>
      <c r="L3" s="19"/>
    </row>
    <row r="4" spans="1:13" ht="15.75" x14ac:dyDescent="0.3">
      <c r="A4" s="40"/>
      <c r="D4" s="86">
        <f t="shared" ref="D4" si="3">G4+H4</f>
        <v>0</v>
      </c>
      <c r="E4" s="45">
        <f t="shared" ref="E4" si="4">D4*A4</f>
        <v>0</v>
      </c>
      <c r="F4" s="40">
        <f t="shared" ref="F4" si="5">G4/50*A4</f>
        <v>0</v>
      </c>
      <c r="G4" s="83"/>
      <c r="H4" s="83"/>
      <c r="L4" s="19"/>
    </row>
    <row r="5" spans="1:13" x14ac:dyDescent="0.25">
      <c r="A5" s="40"/>
      <c r="D5" s="20"/>
      <c r="L5" s="19"/>
    </row>
    <row r="6" spans="1:13" x14ac:dyDescent="0.25">
      <c r="A6" s="40"/>
      <c r="L6" s="19"/>
    </row>
    <row r="7" spans="1:13" x14ac:dyDescent="0.25">
      <c r="A7" s="40"/>
      <c r="L7" s="19"/>
    </row>
    <row r="8" spans="1:13" x14ac:dyDescent="0.25">
      <c r="L8" s="19"/>
    </row>
    <row r="9" spans="1:13" x14ac:dyDescent="0.25">
      <c r="A9" s="103" t="s">
        <v>332</v>
      </c>
      <c r="L9" s="19"/>
    </row>
    <row r="10" spans="1:13" x14ac:dyDescent="0.25">
      <c r="G10" t="s">
        <v>301</v>
      </c>
      <c r="H10" s="100" t="s">
        <v>302</v>
      </c>
      <c r="L10" s="19"/>
    </row>
    <row r="11" spans="1:13" x14ac:dyDescent="0.25">
      <c r="A11" t="s">
        <v>303</v>
      </c>
      <c r="B11" t="s">
        <v>333</v>
      </c>
      <c r="D11" t="s">
        <v>334</v>
      </c>
      <c r="E11" s="19">
        <v>1</v>
      </c>
      <c r="F11" t="s">
        <v>109</v>
      </c>
      <c r="G11">
        <v>50</v>
      </c>
      <c r="H11">
        <v>1.18</v>
      </c>
      <c r="I11" s="20">
        <f>G11*E11*H11</f>
        <v>59</v>
      </c>
      <c r="L11" s="19"/>
    </row>
    <row r="12" spans="1:13" x14ac:dyDescent="0.25">
      <c r="B12" t="s">
        <v>335</v>
      </c>
      <c r="D12" t="s">
        <v>336</v>
      </c>
      <c r="E12" s="104">
        <f>0.1*0.1*1.33*1.05</f>
        <v>1.3965000000000003E-2</v>
      </c>
      <c r="F12" s="100" t="s">
        <v>77</v>
      </c>
      <c r="I12" s="20">
        <f>G12*E12*H12</f>
        <v>0</v>
      </c>
      <c r="L12" s="19"/>
    </row>
    <row r="13" spans="1:13" x14ac:dyDescent="0.25">
      <c r="B13" s="100" t="s">
        <v>337</v>
      </c>
      <c r="D13" s="100" t="s">
        <v>338</v>
      </c>
      <c r="E13" s="104">
        <f>3.3*0.12*0.05</f>
        <v>1.9799999999999998E-2</v>
      </c>
      <c r="F13" s="100" t="s">
        <v>77</v>
      </c>
      <c r="G13">
        <v>745</v>
      </c>
      <c r="H13">
        <v>1.18</v>
      </c>
      <c r="I13" s="20">
        <f>G13*E13*H13</f>
        <v>17.406179999999999</v>
      </c>
      <c r="J13" s="20">
        <f>SUM(I11:I15)+I24+I29</f>
        <v>105.654476</v>
      </c>
      <c r="L13" s="19"/>
    </row>
    <row r="14" spans="1:13" x14ac:dyDescent="0.25">
      <c r="B14" s="100" t="s">
        <v>339</v>
      </c>
      <c r="D14" s="100" t="s">
        <v>340</v>
      </c>
      <c r="E14" s="104">
        <f>3.3*0.04*0.08</f>
        <v>1.056E-2</v>
      </c>
      <c r="F14" s="100" t="s">
        <v>77</v>
      </c>
      <c r="G14">
        <f>705+40</f>
        <v>745</v>
      </c>
      <c r="H14">
        <v>1.18</v>
      </c>
      <c r="I14" s="20">
        <f>G14*E14*H14</f>
        <v>9.2832959999999982</v>
      </c>
      <c r="L14" s="19"/>
    </row>
    <row r="15" spans="1:13" x14ac:dyDescent="0.25">
      <c r="B15" s="100" t="s">
        <v>304</v>
      </c>
      <c r="E15" s="19"/>
      <c r="I15">
        <v>10</v>
      </c>
      <c r="L15" s="19"/>
    </row>
    <row r="16" spans="1:13" x14ac:dyDescent="0.25">
      <c r="B16" s="100"/>
      <c r="E16" s="104">
        <f>SUM(E12:E14)</f>
        <v>4.4325000000000003E-2</v>
      </c>
      <c r="F16" s="100" t="s">
        <v>281</v>
      </c>
      <c r="L16" s="19"/>
    </row>
    <row r="17" spans="1:23" x14ac:dyDescent="0.25">
      <c r="B17" s="100"/>
      <c r="D17" s="100"/>
      <c r="E17" s="19"/>
      <c r="F17" s="100"/>
      <c r="I17" s="20"/>
      <c r="L17" s="19"/>
    </row>
    <row r="18" spans="1:23" x14ac:dyDescent="0.25">
      <c r="A18" s="100" t="s">
        <v>310</v>
      </c>
      <c r="L18" s="19"/>
    </row>
    <row r="19" spans="1:23" x14ac:dyDescent="0.25">
      <c r="A19" s="100" t="s">
        <v>341</v>
      </c>
      <c r="C19" s="100" t="s">
        <v>342</v>
      </c>
      <c r="E19">
        <v>2</v>
      </c>
      <c r="G19">
        <v>50</v>
      </c>
      <c r="H19">
        <v>1.18</v>
      </c>
      <c r="I19">
        <f>E19*G19*H19</f>
        <v>118</v>
      </c>
      <c r="L19" s="19"/>
    </row>
    <row r="20" spans="1:23" x14ac:dyDescent="0.25">
      <c r="L20" s="19"/>
    </row>
    <row r="21" spans="1:23" x14ac:dyDescent="0.25">
      <c r="A21" s="100" t="s">
        <v>315</v>
      </c>
      <c r="C21" s="100" t="s">
        <v>343</v>
      </c>
      <c r="E21">
        <f>(2*3*8)/50</f>
        <v>0.96</v>
      </c>
      <c r="G21">
        <v>50</v>
      </c>
      <c r="H21">
        <v>1.18</v>
      </c>
      <c r="I21">
        <f>E21*G21*H21</f>
        <v>56.64</v>
      </c>
      <c r="L21" s="19"/>
    </row>
    <row r="22" spans="1:23" x14ac:dyDescent="0.25">
      <c r="A22" s="100" t="s">
        <v>344</v>
      </c>
      <c r="C22" s="100" t="s">
        <v>345</v>
      </c>
      <c r="E22">
        <f>(2*1.5*9)/50+0.01</f>
        <v>0.55000000000000004</v>
      </c>
      <c r="G22">
        <v>50</v>
      </c>
      <c r="H22">
        <v>1.18</v>
      </c>
      <c r="I22">
        <f>E22*G22*H22</f>
        <v>32.450000000000003</v>
      </c>
      <c r="J22">
        <f>SUM(I19:I22)</f>
        <v>207.08999999999997</v>
      </c>
      <c r="L22" s="19"/>
    </row>
    <row r="23" spans="1:23" x14ac:dyDescent="0.25">
      <c r="A23" s="100"/>
      <c r="C23" s="100"/>
      <c r="L23" s="19"/>
    </row>
    <row r="24" spans="1:23" x14ac:dyDescent="0.25">
      <c r="A24" s="100" t="s">
        <v>316</v>
      </c>
      <c r="C24" s="100" t="s">
        <v>346</v>
      </c>
      <c r="E24">
        <v>0.45</v>
      </c>
      <c r="G24">
        <v>15</v>
      </c>
      <c r="H24">
        <v>1.18</v>
      </c>
      <c r="I24">
        <f>E24*G24*H24</f>
        <v>7.9649999999999999</v>
      </c>
      <c r="L24" s="19"/>
    </row>
    <row r="25" spans="1:23" x14ac:dyDescent="0.25">
      <c r="L25" s="19"/>
      <c r="N25" s="20"/>
    </row>
    <row r="26" spans="1:23" x14ac:dyDescent="0.25">
      <c r="D26" s="100" t="s">
        <v>318</v>
      </c>
      <c r="E26">
        <f>SUM(E19:E25)</f>
        <v>3.96</v>
      </c>
      <c r="F26" s="100" t="s">
        <v>319</v>
      </c>
    </row>
    <row r="28" spans="1:23" x14ac:dyDescent="0.25">
      <c r="A28" s="100"/>
    </row>
    <row r="29" spans="1:23" ht="15.75" x14ac:dyDescent="0.3">
      <c r="A29" s="100" t="s">
        <v>320</v>
      </c>
      <c r="C29" s="100" t="s">
        <v>321</v>
      </c>
      <c r="E29">
        <v>0.5</v>
      </c>
      <c r="F29" s="100" t="s">
        <v>177</v>
      </c>
      <c r="G29">
        <v>40</v>
      </c>
      <c r="H29">
        <v>1.18</v>
      </c>
      <c r="I29">
        <v>2</v>
      </c>
      <c r="K29" s="1"/>
      <c r="L29" s="1"/>
      <c r="M29" s="1"/>
    </row>
    <row r="30" spans="1:23" x14ac:dyDescent="0.25">
      <c r="F30" s="100"/>
    </row>
    <row r="31" spans="1:23" ht="15.75" x14ac:dyDescent="0.3">
      <c r="K31" s="142"/>
      <c r="L31" s="142"/>
      <c r="M31" s="142"/>
      <c r="N31" s="7"/>
      <c r="O31" s="142"/>
      <c r="P31" s="142"/>
      <c r="Q31" s="142"/>
      <c r="R31" s="1"/>
      <c r="S31" s="1"/>
      <c r="T31" s="7"/>
      <c r="U31" s="35"/>
      <c r="V31" s="15"/>
      <c r="W31" s="1"/>
    </row>
    <row r="32" spans="1:23" ht="15.75" x14ac:dyDescent="0.3">
      <c r="I32" s="102">
        <f>SUM(I11:I30)</f>
        <v>312.74447599999996</v>
      </c>
      <c r="J32" s="103" t="s">
        <v>347</v>
      </c>
      <c r="K32" s="5"/>
      <c r="L32" s="5"/>
      <c r="M32" s="5"/>
      <c r="N32" s="1"/>
      <c r="O32" s="8"/>
      <c r="P32" s="143"/>
      <c r="Q32" s="143"/>
      <c r="R32" s="1"/>
      <c r="S32" s="1"/>
      <c r="T32" s="1"/>
      <c r="U32" s="15"/>
      <c r="V32" s="1"/>
      <c r="W32" s="1"/>
    </row>
    <row r="33" spans="1:23" ht="15.75" x14ac:dyDescent="0.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3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3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3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3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3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3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3">
      <c r="A40" s="1"/>
    </row>
  </sheetData>
  <mergeCells count="3">
    <mergeCell ref="K31:M31"/>
    <mergeCell ref="O31:Q31"/>
    <mergeCell ref="P32:Q32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49"/>
  <sheetViews>
    <sheetView topLeftCell="A3" zoomScaleNormal="100" workbookViewId="0">
      <selection activeCell="C4" sqref="C4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5" width="9.140625" style="70" customWidth="1"/>
    <col min="6" max="6" width="10.85546875" style="34"/>
    <col min="7" max="7" width="13.42578125" style="79" customWidth="1"/>
    <col min="8" max="8" width="10.85546875" style="79"/>
    <col min="9" max="10" width="10.85546875" style="20"/>
  </cols>
  <sheetData>
    <row r="1" spans="1:21" x14ac:dyDescent="0.25">
      <c r="D1" s="70" t="s">
        <v>42</v>
      </c>
      <c r="E1" s="70" t="s">
        <v>146</v>
      </c>
      <c r="F1" s="34" t="s">
        <v>145</v>
      </c>
      <c r="G1" s="79" t="s">
        <v>143</v>
      </c>
      <c r="H1" s="79" t="s">
        <v>144</v>
      </c>
    </row>
    <row r="2" spans="1:21" x14ac:dyDescent="0.25">
      <c r="C2" s="48" t="s">
        <v>272</v>
      </c>
      <c r="D2"/>
      <c r="E2"/>
      <c r="G2" s="80"/>
      <c r="H2" s="80"/>
    </row>
    <row r="3" spans="1:21" ht="15.75" x14ac:dyDescent="0.3">
      <c r="A3" s="40">
        <v>0</v>
      </c>
      <c r="B3" s="46" t="s">
        <v>24</v>
      </c>
      <c r="C3" s="36" t="s">
        <v>273</v>
      </c>
      <c r="D3" s="86">
        <f t="shared" ref="D3" si="0">G3+H3</f>
        <v>0</v>
      </c>
      <c r="E3" s="45">
        <f t="shared" ref="E3" si="1">D3*A3</f>
        <v>0</v>
      </c>
      <c r="F3" s="40">
        <f t="shared" ref="F3" si="2">G3/50*A3</f>
        <v>0</v>
      </c>
      <c r="G3" s="99">
        <v>0</v>
      </c>
      <c r="H3" s="99">
        <v>0</v>
      </c>
    </row>
    <row r="4" spans="1:21" ht="15.75" x14ac:dyDescent="0.3">
      <c r="B4" s="46"/>
      <c r="C4" s="36"/>
      <c r="D4"/>
      <c r="E4" s="52"/>
    </row>
    <row r="5" spans="1:21" ht="15.75" x14ac:dyDescent="0.3">
      <c r="B5" s="46"/>
      <c r="C5" s="36"/>
      <c r="D5"/>
      <c r="E5" s="52"/>
    </row>
    <row r="6" spans="1:21" ht="15.75" x14ac:dyDescent="0.3">
      <c r="B6" s="46"/>
      <c r="C6" s="36"/>
      <c r="D6"/>
      <c r="E6" s="52"/>
      <c r="F6" s="75"/>
      <c r="L6" s="20"/>
    </row>
    <row r="7" spans="1:21" ht="15.75" x14ac:dyDescent="0.3">
      <c r="B7" s="46"/>
      <c r="C7" s="36"/>
      <c r="D7"/>
      <c r="E7" s="52"/>
    </row>
    <row r="8" spans="1:21" ht="15.75" x14ac:dyDescent="0.3">
      <c r="B8" s="46"/>
      <c r="C8" s="36"/>
      <c r="D8"/>
      <c r="E8" s="52"/>
    </row>
    <row r="9" spans="1:21" ht="15.75" x14ac:dyDescent="0.3">
      <c r="B9" s="49"/>
      <c r="C9" s="39"/>
      <c r="D9" s="50"/>
      <c r="E9" s="53"/>
    </row>
    <row r="10" spans="1:21" ht="15.75" x14ac:dyDescent="0.3">
      <c r="B10" s="46"/>
      <c r="C10" s="36"/>
      <c r="D10"/>
      <c r="E10" s="52"/>
      <c r="F10" s="77"/>
      <c r="G10" s="81"/>
      <c r="H10" s="81"/>
      <c r="I10" s="1"/>
      <c r="J10" s="1"/>
      <c r="K10" s="1"/>
    </row>
    <row r="11" spans="1:21" ht="15.75" x14ac:dyDescent="0.3">
      <c r="B11" s="46"/>
      <c r="C11" s="36"/>
      <c r="D11"/>
      <c r="E11" s="52"/>
    </row>
    <row r="12" spans="1:21" ht="15.75" x14ac:dyDescent="0.3">
      <c r="A12" s="1"/>
      <c r="B12" s="46"/>
      <c r="C12" s="36"/>
      <c r="D12"/>
      <c r="E12" s="52"/>
      <c r="F12" s="77"/>
      <c r="G12" s="82"/>
      <c r="H12" s="82"/>
      <c r="I12" s="142"/>
      <c r="J12" s="142"/>
      <c r="K12" s="142"/>
      <c r="L12" s="7"/>
      <c r="M12" s="142"/>
      <c r="N12" s="142"/>
      <c r="O12" s="142"/>
      <c r="P12" s="1"/>
      <c r="Q12" s="1"/>
      <c r="R12" s="7"/>
      <c r="S12" s="35"/>
      <c r="T12" s="15"/>
      <c r="U12" s="1"/>
    </row>
    <row r="13" spans="1:21" ht="15.75" x14ac:dyDescent="0.3">
      <c r="A13" s="1"/>
      <c r="B13" s="46"/>
      <c r="C13" s="36"/>
      <c r="D13" s="71"/>
      <c r="E13" s="71"/>
      <c r="F13" s="72"/>
      <c r="G13" s="80"/>
      <c r="H13" s="80"/>
      <c r="I13" s="69"/>
      <c r="J13" s="69"/>
      <c r="K13" s="69"/>
      <c r="L13" s="7"/>
      <c r="M13" s="69"/>
      <c r="N13" s="69"/>
      <c r="O13" s="69"/>
      <c r="P13" s="1"/>
      <c r="Q13" s="1"/>
      <c r="R13" s="7"/>
      <c r="S13" s="35"/>
      <c r="T13" s="15"/>
      <c r="U13" s="1"/>
    </row>
    <row r="14" spans="1:21" ht="15.75" x14ac:dyDescent="0.3">
      <c r="A14" s="1"/>
      <c r="B14" s="46"/>
      <c r="C14" s="36"/>
      <c r="D14" s="71"/>
      <c r="E14" s="71"/>
      <c r="F14" s="72"/>
      <c r="G14" s="80"/>
      <c r="H14" s="80"/>
      <c r="I14" s="69"/>
      <c r="J14" s="69"/>
      <c r="K14" s="69"/>
      <c r="L14" s="7"/>
      <c r="M14" s="69"/>
      <c r="N14" s="69"/>
      <c r="O14" s="69"/>
      <c r="P14" s="1"/>
      <c r="Q14" s="1"/>
      <c r="R14" s="7"/>
      <c r="S14" s="35"/>
      <c r="T14" s="15"/>
      <c r="U14" s="1"/>
    </row>
    <row r="15" spans="1:21" ht="15.75" x14ac:dyDescent="0.3">
      <c r="A15" s="1"/>
      <c r="B15" s="46"/>
      <c r="C15" s="36"/>
      <c r="D15"/>
      <c r="E15" s="52"/>
      <c r="F15" s="77"/>
      <c r="G15" s="82"/>
      <c r="H15" s="82"/>
      <c r="I15" s="69"/>
      <c r="J15" s="69"/>
      <c r="K15" s="69"/>
      <c r="L15" s="7"/>
      <c r="M15" s="69"/>
      <c r="N15" s="69"/>
      <c r="O15" s="69"/>
      <c r="P15" s="1"/>
      <c r="Q15" s="1"/>
      <c r="R15" s="7"/>
      <c r="S15" s="35"/>
      <c r="T15" s="15"/>
      <c r="U15" s="1"/>
    </row>
    <row r="16" spans="1:21" ht="15.75" x14ac:dyDescent="0.3">
      <c r="A16" s="1"/>
      <c r="B16" s="46"/>
      <c r="C16" s="36"/>
      <c r="D16"/>
      <c r="E16" s="52"/>
      <c r="F16" s="77"/>
      <c r="G16" s="82"/>
      <c r="H16" s="82"/>
      <c r="I16" s="69"/>
      <c r="J16" s="69"/>
      <c r="K16" s="69"/>
      <c r="L16" s="7"/>
      <c r="M16" s="69"/>
      <c r="N16" s="69"/>
      <c r="O16" s="69"/>
      <c r="P16" s="1"/>
      <c r="Q16" s="1"/>
      <c r="R16" s="7"/>
      <c r="S16" s="35"/>
      <c r="T16" s="15"/>
      <c r="U16" s="1"/>
    </row>
    <row r="17" spans="2:8" x14ac:dyDescent="0.25">
      <c r="C17" s="48"/>
      <c r="D17"/>
      <c r="E17"/>
      <c r="F17"/>
      <c r="G17" s="83"/>
      <c r="H17" s="83"/>
    </row>
    <row r="18" spans="2:8" x14ac:dyDescent="0.25">
      <c r="B18" s="46"/>
      <c r="C18" s="36"/>
      <c r="D18" s="71"/>
      <c r="E18" s="71"/>
      <c r="F18" s="72"/>
      <c r="G18" s="80"/>
      <c r="H18" s="80"/>
    </row>
    <row r="19" spans="2:8" x14ac:dyDescent="0.25">
      <c r="B19" s="46"/>
      <c r="C19" s="36"/>
      <c r="D19" s="71"/>
      <c r="E19" s="71"/>
      <c r="F19" s="72"/>
      <c r="G19" s="80"/>
      <c r="H19" s="80"/>
    </row>
    <row r="20" spans="2:8" x14ac:dyDescent="0.25">
      <c r="B20" s="46"/>
      <c r="C20" s="36"/>
      <c r="D20" s="71"/>
      <c r="E20" s="71"/>
      <c r="F20" s="72"/>
      <c r="G20" s="80"/>
      <c r="H20" s="80"/>
    </row>
    <row r="21" spans="2:8" x14ac:dyDescent="0.25">
      <c r="B21" s="46"/>
      <c r="C21" s="36"/>
      <c r="D21" s="71"/>
      <c r="E21" s="71"/>
      <c r="F21" s="72"/>
      <c r="G21" s="80"/>
      <c r="H21" s="80"/>
    </row>
    <row r="22" spans="2:8" x14ac:dyDescent="0.25">
      <c r="B22" s="46"/>
      <c r="C22" s="36"/>
      <c r="D22" s="71"/>
      <c r="E22" s="71"/>
      <c r="F22" s="72"/>
      <c r="G22" s="80"/>
      <c r="H22" s="80"/>
    </row>
    <row r="23" spans="2:8" x14ac:dyDescent="0.25">
      <c r="B23" s="46"/>
      <c r="C23" s="36" t="s">
        <v>391</v>
      </c>
      <c r="D23" s="72">
        <v>273</v>
      </c>
      <c r="E23" s="46" t="s">
        <v>35</v>
      </c>
      <c r="F23" s="72"/>
      <c r="G23" s="116"/>
      <c r="H23" s="117"/>
    </row>
    <row r="24" spans="2:8" x14ac:dyDescent="0.25">
      <c r="C24" s="36" t="s">
        <v>392</v>
      </c>
      <c r="D24" s="72">
        <f>D23*0.3+5.1</f>
        <v>86.999999999999986</v>
      </c>
      <c r="E24" s="46" t="s">
        <v>77</v>
      </c>
      <c r="F24" s="72">
        <v>150</v>
      </c>
      <c r="G24" s="116" t="s">
        <v>393</v>
      </c>
      <c r="H24" s="117">
        <f t="shared" ref="H24:H37" si="3">D24*F24</f>
        <v>13049.999999999998</v>
      </c>
    </row>
    <row r="25" spans="2:8" x14ac:dyDescent="0.25">
      <c r="C25" s="36" t="s">
        <v>394</v>
      </c>
      <c r="D25" s="72"/>
      <c r="E25" s="46"/>
      <c r="F25" s="72"/>
      <c r="G25" s="116"/>
      <c r="H25" s="117"/>
    </row>
    <row r="26" spans="2:8" x14ac:dyDescent="0.25">
      <c r="C26" s="36" t="s">
        <v>395</v>
      </c>
      <c r="D26" s="72">
        <v>5220</v>
      </c>
      <c r="E26" s="46" t="s">
        <v>396</v>
      </c>
      <c r="F26" s="72">
        <v>0.99</v>
      </c>
      <c r="G26" s="116" t="s">
        <v>393</v>
      </c>
      <c r="H26" s="117">
        <f t="shared" si="3"/>
        <v>5167.8</v>
      </c>
    </row>
    <row r="27" spans="2:8" x14ac:dyDescent="0.25">
      <c r="C27" s="36" t="s">
        <v>397</v>
      </c>
      <c r="D27" s="72">
        <v>3480</v>
      </c>
      <c r="E27" s="46" t="s">
        <v>396</v>
      </c>
      <c r="F27" s="72">
        <v>1.07</v>
      </c>
      <c r="G27" s="116" t="s">
        <v>393</v>
      </c>
      <c r="H27" s="117">
        <f t="shared" si="3"/>
        <v>3723.6000000000004</v>
      </c>
    </row>
    <row r="28" spans="2:8" x14ac:dyDescent="0.25">
      <c r="C28" s="36" t="s">
        <v>398</v>
      </c>
      <c r="D28" s="72">
        <v>400</v>
      </c>
      <c r="E28" s="46" t="s">
        <v>396</v>
      </c>
      <c r="F28" s="72">
        <f>2.9*1.15</f>
        <v>3.3349999999999995</v>
      </c>
      <c r="G28" s="116" t="s">
        <v>393</v>
      </c>
      <c r="H28" s="117">
        <f t="shared" si="3"/>
        <v>1333.9999999999998</v>
      </c>
    </row>
    <row r="29" spans="2:8" x14ac:dyDescent="0.25">
      <c r="C29" s="36" t="s">
        <v>399</v>
      </c>
      <c r="D29" s="72">
        <v>300</v>
      </c>
      <c r="E29" s="46" t="s">
        <v>109</v>
      </c>
      <c r="F29" s="72">
        <f>0.18*5*5*1.15</f>
        <v>5.1749999999999998</v>
      </c>
      <c r="G29" s="116" t="s">
        <v>393</v>
      </c>
      <c r="H29" s="117">
        <f t="shared" si="3"/>
        <v>1552.5</v>
      </c>
    </row>
    <row r="30" spans="2:8" x14ac:dyDescent="0.25">
      <c r="C30" s="118" t="s">
        <v>400</v>
      </c>
      <c r="D30" s="72"/>
      <c r="E30" s="46"/>
      <c r="F30" s="72"/>
      <c r="G30" s="116"/>
      <c r="H30" s="117"/>
    </row>
    <row r="31" spans="2:8" x14ac:dyDescent="0.25">
      <c r="C31" s="118"/>
      <c r="D31" s="72"/>
      <c r="E31" s="46"/>
      <c r="F31" s="72"/>
      <c r="G31" s="116"/>
      <c r="H31" s="117"/>
    </row>
    <row r="32" spans="2:8" x14ac:dyDescent="0.25">
      <c r="C32" s="36" t="s">
        <v>401</v>
      </c>
      <c r="D32" s="72">
        <v>400</v>
      </c>
      <c r="E32" s="46" t="s">
        <v>24</v>
      </c>
      <c r="F32" s="72">
        <f>0.03*1.15*5*5</f>
        <v>0.86249999999999993</v>
      </c>
      <c r="G32" s="116" t="s">
        <v>393</v>
      </c>
      <c r="H32" s="117">
        <f>D32*F32</f>
        <v>345</v>
      </c>
    </row>
    <row r="33" spans="3:8" x14ac:dyDescent="0.25">
      <c r="C33" s="36" t="s">
        <v>402</v>
      </c>
      <c r="D33" s="72">
        <v>300</v>
      </c>
      <c r="E33" s="46" t="s">
        <v>109</v>
      </c>
      <c r="F33" s="72">
        <f>0.2*1.15*5*5</f>
        <v>5.75</v>
      </c>
      <c r="G33" s="116" t="s">
        <v>393</v>
      </c>
      <c r="H33" s="117">
        <f t="shared" si="3"/>
        <v>1725</v>
      </c>
    </row>
    <row r="34" spans="3:8" x14ac:dyDescent="0.25">
      <c r="C34" s="36" t="s">
        <v>403</v>
      </c>
      <c r="D34" s="72">
        <v>1</v>
      </c>
      <c r="E34" s="46" t="s">
        <v>122</v>
      </c>
      <c r="F34" s="72">
        <f>600*1.1</f>
        <v>660</v>
      </c>
      <c r="G34" s="116" t="s">
        <v>393</v>
      </c>
      <c r="H34" s="117">
        <f t="shared" si="3"/>
        <v>660</v>
      </c>
    </row>
    <row r="35" spans="3:8" x14ac:dyDescent="0.25">
      <c r="C35" s="36" t="s">
        <v>404</v>
      </c>
      <c r="D35" s="72">
        <v>1000</v>
      </c>
      <c r="E35" s="46" t="s">
        <v>135</v>
      </c>
      <c r="F35" s="72">
        <v>1.1499999999999999</v>
      </c>
      <c r="G35" s="116" t="s">
        <v>393</v>
      </c>
      <c r="H35" s="117">
        <f t="shared" si="3"/>
        <v>1150</v>
      </c>
    </row>
    <row r="36" spans="3:8" x14ac:dyDescent="0.25">
      <c r="C36" s="36" t="s">
        <v>405</v>
      </c>
      <c r="D36" s="72">
        <f>D23+27</f>
        <v>300</v>
      </c>
      <c r="E36" s="46" t="s">
        <v>35</v>
      </c>
      <c r="F36" s="72">
        <f>0.16*1.15*5*5</f>
        <v>4.5999999999999996</v>
      </c>
      <c r="G36" s="116" t="s">
        <v>393</v>
      </c>
      <c r="H36" s="117">
        <f t="shared" si="3"/>
        <v>1380</v>
      </c>
    </row>
    <row r="37" spans="3:8" x14ac:dyDescent="0.25">
      <c r="C37" s="36" t="s">
        <v>406</v>
      </c>
      <c r="D37" s="72">
        <v>80</v>
      </c>
      <c r="E37" s="46" t="s">
        <v>35</v>
      </c>
      <c r="F37" s="72">
        <f>19.22*1.1</f>
        <v>21.141999999999999</v>
      </c>
      <c r="G37" s="116" t="s">
        <v>393</v>
      </c>
      <c r="H37" s="117">
        <f t="shared" si="3"/>
        <v>1691.36</v>
      </c>
    </row>
    <row r="38" spans="3:8" x14ac:dyDescent="0.25">
      <c r="C38" s="119">
        <f>C9</f>
        <v>0</v>
      </c>
      <c r="D38" s="120"/>
      <c r="E38" s="121"/>
      <c r="F38" s="120"/>
      <c r="G38" s="122"/>
      <c r="H38" s="123">
        <f>SUM(H11:H37)</f>
        <v>31779.260000000002</v>
      </c>
    </row>
    <row r="39" spans="3:8" x14ac:dyDescent="0.25">
      <c r="C39" s="36"/>
      <c r="D39" s="72"/>
      <c r="E39" s="46"/>
      <c r="F39" s="72"/>
      <c r="G39" s="124"/>
      <c r="H39" s="117"/>
    </row>
    <row r="40" spans="3:8" x14ac:dyDescent="0.25">
      <c r="C40" s="125" t="s">
        <v>407</v>
      </c>
      <c r="D40" s="72"/>
      <c r="E40" s="46"/>
      <c r="F40" s="72"/>
      <c r="G40" s="124"/>
      <c r="H40" s="117"/>
    </row>
    <row r="41" spans="3:8" x14ac:dyDescent="0.25">
      <c r="C41" s="36" t="s">
        <v>408</v>
      </c>
      <c r="D41" s="72"/>
      <c r="E41" s="46"/>
      <c r="F41" s="72"/>
      <c r="G41" s="124"/>
      <c r="H41" s="117"/>
    </row>
    <row r="42" spans="3:8" x14ac:dyDescent="0.25">
      <c r="C42" s="125" t="s">
        <v>409</v>
      </c>
      <c r="D42" s="72">
        <v>1</v>
      </c>
      <c r="E42" s="46" t="s">
        <v>122</v>
      </c>
      <c r="F42" s="72">
        <v>15120.43</v>
      </c>
      <c r="G42" s="116" t="s">
        <v>393</v>
      </c>
      <c r="H42" s="117">
        <f>D42*F42</f>
        <v>15120.43</v>
      </c>
    </row>
    <row r="43" spans="3:8" x14ac:dyDescent="0.25">
      <c r="C43" s="125" t="s">
        <v>410</v>
      </c>
      <c r="D43" s="72"/>
      <c r="E43" s="46"/>
      <c r="F43" s="72"/>
      <c r="G43" s="116"/>
      <c r="H43" s="117"/>
    </row>
    <row r="44" spans="3:8" x14ac:dyDescent="0.25">
      <c r="C44" s="36" t="s">
        <v>411</v>
      </c>
      <c r="D44" s="72">
        <f>D23*0.25+5.75</f>
        <v>74</v>
      </c>
      <c r="E44" s="46" t="s">
        <v>77</v>
      </c>
      <c r="F44" s="72">
        <v>150</v>
      </c>
      <c r="G44" s="116" t="s">
        <v>393</v>
      </c>
      <c r="H44" s="117">
        <f t="shared" ref="H44:H48" si="4">D44*F44</f>
        <v>11100</v>
      </c>
    </row>
    <row r="45" spans="3:8" x14ac:dyDescent="0.25">
      <c r="C45" s="36" t="s">
        <v>412</v>
      </c>
      <c r="D45" s="72">
        <f>75*75.46+0.5</f>
        <v>5659.9999999999991</v>
      </c>
      <c r="E45" s="46" t="s">
        <v>396</v>
      </c>
      <c r="F45" s="72">
        <f>0.86*1.15</f>
        <v>0.98899999999999988</v>
      </c>
      <c r="G45" s="116" t="s">
        <v>393</v>
      </c>
      <c r="H45" s="117">
        <f t="shared" si="4"/>
        <v>5597.739999999998</v>
      </c>
    </row>
    <row r="46" spans="3:8" x14ac:dyDescent="0.25">
      <c r="C46" s="36" t="s">
        <v>413</v>
      </c>
      <c r="D46" s="72">
        <v>1740</v>
      </c>
      <c r="E46" s="46" t="s">
        <v>396</v>
      </c>
      <c r="F46" s="72">
        <f>0.93*1.15</f>
        <v>1.0694999999999999</v>
      </c>
      <c r="G46" s="116" t="s">
        <v>393</v>
      </c>
      <c r="H46" s="117">
        <f t="shared" si="4"/>
        <v>1860.9299999999998</v>
      </c>
    </row>
    <row r="47" spans="3:8" x14ac:dyDescent="0.25">
      <c r="C47" s="36" t="s">
        <v>398</v>
      </c>
      <c r="D47" s="72">
        <v>400</v>
      </c>
      <c r="E47" s="46" t="s">
        <v>396</v>
      </c>
      <c r="F47" s="72">
        <f>2.9*1.15</f>
        <v>3.3349999999999995</v>
      </c>
      <c r="G47" s="116" t="s">
        <v>393</v>
      </c>
      <c r="H47" s="117">
        <f t="shared" si="4"/>
        <v>1333.9999999999998</v>
      </c>
    </row>
    <row r="48" spans="3:8" x14ac:dyDescent="0.25">
      <c r="C48" s="36" t="s">
        <v>414</v>
      </c>
      <c r="D48" s="72">
        <v>1100</v>
      </c>
      <c r="E48" s="46" t="s">
        <v>135</v>
      </c>
      <c r="F48" s="72">
        <v>1.1499999999999999</v>
      </c>
      <c r="G48" s="116" t="s">
        <v>393</v>
      </c>
      <c r="H48" s="117">
        <f t="shared" si="4"/>
        <v>1265</v>
      </c>
    </row>
    <row r="49" spans="3:8" x14ac:dyDescent="0.25">
      <c r="C49" s="119" t="s">
        <v>415</v>
      </c>
      <c r="D49" s="120"/>
      <c r="E49" s="121"/>
      <c r="F49" s="120"/>
      <c r="G49" s="126"/>
      <c r="H49" s="123">
        <f>SUM(H42:H48)</f>
        <v>36278.1</v>
      </c>
    </row>
  </sheetData>
  <mergeCells count="2">
    <mergeCell ref="I12:K12"/>
    <mergeCell ref="M12:O12"/>
  </mergeCells>
  <pageMargins left="0.78740157480314965" right="0.19685039370078741" top="0.78740157480314965" bottom="0.19685039370078741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90"/>
  <sheetViews>
    <sheetView topLeftCell="A6" zoomScaleNormal="100" workbookViewId="0">
      <selection activeCell="A16" sqref="A16"/>
    </sheetView>
  </sheetViews>
  <sheetFormatPr baseColWidth="10" defaultColWidth="10.85546875" defaultRowHeight="15" x14ac:dyDescent="0.25"/>
  <cols>
    <col min="1" max="1" width="7.42578125" customWidth="1"/>
    <col min="2" max="2" width="3.85546875" bestFit="1" customWidth="1"/>
    <col min="3" max="3" width="43.85546875" bestFit="1" customWidth="1"/>
    <col min="4" max="7" width="9.140625" customWidth="1"/>
    <col min="9" max="9" width="13.42578125" customWidth="1"/>
  </cols>
  <sheetData>
    <row r="1" spans="1:13" ht="15.75" x14ac:dyDescent="0.3">
      <c r="A1" s="91"/>
      <c r="D1" s="70" t="s">
        <v>42</v>
      </c>
      <c r="E1" s="34" t="s">
        <v>146</v>
      </c>
      <c r="F1" s="94" t="s">
        <v>145</v>
      </c>
      <c r="G1" s="87" t="s">
        <v>143</v>
      </c>
      <c r="H1" s="87" t="s">
        <v>144</v>
      </c>
      <c r="I1" s="20"/>
      <c r="J1" s="20"/>
      <c r="K1" s="20"/>
      <c r="L1" s="20"/>
      <c r="M1" s="20"/>
    </row>
    <row r="2" spans="1:13" ht="15.75" x14ac:dyDescent="0.3">
      <c r="A2" s="108"/>
      <c r="B2" s="108"/>
      <c r="C2" s="18" t="s">
        <v>423</v>
      </c>
      <c r="D2" s="129"/>
      <c r="E2" s="129"/>
      <c r="F2" s="33"/>
      <c r="G2" s="129"/>
      <c r="H2" s="129"/>
      <c r="L2" s="19"/>
    </row>
    <row r="3" spans="1:13" ht="15.75" x14ac:dyDescent="0.3">
      <c r="A3" s="91"/>
      <c r="B3" s="108"/>
      <c r="C3" s="108" t="s">
        <v>424</v>
      </c>
      <c r="D3" s="129"/>
      <c r="E3" s="129"/>
      <c r="F3" s="91"/>
      <c r="G3" s="129"/>
      <c r="H3" s="129">
        <f>1.08*730*1.12</f>
        <v>883.00800000000015</v>
      </c>
      <c r="L3" s="19"/>
    </row>
    <row r="4" spans="1:13" ht="15.75" x14ac:dyDescent="0.3">
      <c r="A4" s="91"/>
      <c r="B4" s="108"/>
      <c r="C4" s="108" t="s">
        <v>425</v>
      </c>
      <c r="D4" s="129"/>
      <c r="E4" s="129"/>
      <c r="F4" s="91"/>
      <c r="G4" s="129"/>
      <c r="H4" s="129"/>
      <c r="L4" s="19"/>
    </row>
    <row r="5" spans="1:13" ht="15.75" x14ac:dyDescent="0.3">
      <c r="A5" s="91"/>
      <c r="B5" s="108"/>
      <c r="C5" s="108" t="s">
        <v>426</v>
      </c>
      <c r="D5" s="129"/>
      <c r="E5" s="129"/>
      <c r="F5" s="91"/>
      <c r="G5" s="129"/>
      <c r="H5" s="129"/>
      <c r="L5" s="19"/>
    </row>
    <row r="6" spans="1:13" ht="15.75" x14ac:dyDescent="0.3">
      <c r="A6" s="91"/>
      <c r="B6" s="108"/>
      <c r="C6" s="108" t="s">
        <v>427</v>
      </c>
      <c r="D6" s="129"/>
      <c r="E6" s="129"/>
      <c r="F6" s="91"/>
      <c r="G6" s="129"/>
      <c r="H6" s="129"/>
      <c r="L6" s="19"/>
    </row>
    <row r="7" spans="1:13" ht="15.75" x14ac:dyDescent="0.3">
      <c r="A7" s="91"/>
      <c r="B7" s="108"/>
      <c r="C7" s="108" t="s">
        <v>428</v>
      </c>
      <c r="D7" s="129"/>
      <c r="E7" s="129"/>
      <c r="F7" s="91"/>
      <c r="G7" s="129"/>
      <c r="H7" s="129"/>
      <c r="L7" s="19"/>
    </row>
    <row r="8" spans="1:13" ht="15.75" x14ac:dyDescent="0.3">
      <c r="A8" s="91"/>
      <c r="B8" s="108"/>
      <c r="C8" s="108" t="s">
        <v>201</v>
      </c>
      <c r="D8" s="129"/>
      <c r="E8" s="129"/>
      <c r="F8" s="91"/>
      <c r="G8" s="129"/>
      <c r="H8" s="129"/>
      <c r="L8" s="19"/>
    </row>
    <row r="9" spans="1:13" ht="15.75" x14ac:dyDescent="0.3">
      <c r="A9" s="91"/>
      <c r="B9" s="108"/>
      <c r="C9" s="108"/>
      <c r="D9" s="129"/>
      <c r="E9" s="129"/>
      <c r="F9" s="91"/>
      <c r="G9" s="129"/>
      <c r="H9" s="129"/>
      <c r="L9" s="19"/>
    </row>
    <row r="10" spans="1:13" ht="15.75" x14ac:dyDescent="0.3">
      <c r="A10" s="91"/>
      <c r="B10" s="108"/>
      <c r="C10" s="108"/>
      <c r="D10" s="129"/>
      <c r="E10" s="129"/>
      <c r="F10" s="91"/>
      <c r="G10" s="129"/>
      <c r="H10" s="129"/>
      <c r="L10" s="19"/>
    </row>
    <row r="11" spans="1:13" ht="15.75" x14ac:dyDescent="0.3">
      <c r="A11" s="91"/>
      <c r="B11" s="108"/>
      <c r="C11" s="108"/>
      <c r="D11" s="129"/>
      <c r="E11" s="129"/>
      <c r="F11" s="91"/>
      <c r="G11" s="129"/>
      <c r="H11" s="129"/>
      <c r="L11" s="19"/>
    </row>
    <row r="12" spans="1:13" ht="15.75" x14ac:dyDescent="0.3">
      <c r="A12" s="91"/>
      <c r="B12" s="108"/>
      <c r="C12" s="108"/>
      <c r="D12" s="129"/>
      <c r="E12" s="129"/>
      <c r="F12" s="91"/>
      <c r="G12" s="129"/>
      <c r="H12" s="129"/>
      <c r="L12" s="19"/>
    </row>
    <row r="13" spans="1:13" x14ac:dyDescent="0.25">
      <c r="A13" s="103" t="s">
        <v>420</v>
      </c>
      <c r="D13" s="93"/>
      <c r="E13" s="93"/>
      <c r="F13" s="20"/>
      <c r="G13" s="93"/>
      <c r="H13" s="93"/>
      <c r="L13" s="19"/>
    </row>
    <row r="14" spans="1:13" x14ac:dyDescent="0.25">
      <c r="A14" s="20"/>
      <c r="D14" s="93"/>
      <c r="E14" s="93"/>
      <c r="G14" s="93"/>
      <c r="H14" s="93"/>
      <c r="L14" s="19"/>
    </row>
    <row r="15" spans="1:13" x14ac:dyDescent="0.25">
      <c r="A15" t="s">
        <v>500</v>
      </c>
      <c r="L15" s="19"/>
    </row>
    <row r="16" spans="1:13" x14ac:dyDescent="0.25">
      <c r="A16" s="128" t="s">
        <v>303</v>
      </c>
      <c r="G16" s="56" t="s">
        <v>301</v>
      </c>
      <c r="H16" s="127" t="s">
        <v>302</v>
      </c>
      <c r="I16" s="56" t="s">
        <v>42</v>
      </c>
      <c r="L16" s="19"/>
    </row>
    <row r="17" spans="1:12" x14ac:dyDescent="0.25">
      <c r="B17" t="s">
        <v>333</v>
      </c>
      <c r="D17" t="s">
        <v>334</v>
      </c>
      <c r="E17" s="19">
        <v>1</v>
      </c>
      <c r="F17" t="s">
        <v>109</v>
      </c>
      <c r="G17">
        <v>50</v>
      </c>
      <c r="H17">
        <v>1.18</v>
      </c>
      <c r="I17" s="20">
        <f>G17*E17*H17</f>
        <v>59</v>
      </c>
      <c r="L17" s="19"/>
    </row>
    <row r="18" spans="1:12" x14ac:dyDescent="0.25">
      <c r="B18" t="s">
        <v>335</v>
      </c>
      <c r="D18" t="s">
        <v>336</v>
      </c>
      <c r="E18" s="104">
        <f>0.1*0.1*1.33*1.05</f>
        <v>1.3965000000000003E-2</v>
      </c>
      <c r="F18" s="100" t="s">
        <v>77</v>
      </c>
      <c r="G18">
        <v>750</v>
      </c>
      <c r="H18">
        <v>1.18</v>
      </c>
      <c r="I18" s="20">
        <f>G18*E18*H18</f>
        <v>12.359025000000003</v>
      </c>
      <c r="L18" s="19"/>
    </row>
    <row r="19" spans="1:12" x14ac:dyDescent="0.25">
      <c r="B19" s="100" t="s">
        <v>337</v>
      </c>
      <c r="D19" s="100" t="s">
        <v>338</v>
      </c>
      <c r="E19" s="104">
        <f>3.3*0.12*0.05</f>
        <v>1.9799999999999998E-2</v>
      </c>
      <c r="F19" s="100" t="s">
        <v>77</v>
      </c>
      <c r="G19">
        <v>750</v>
      </c>
      <c r="H19">
        <v>1.18</v>
      </c>
      <c r="I19" s="20">
        <f>G19*E19*H19</f>
        <v>17.522999999999996</v>
      </c>
      <c r="J19" s="20">
        <f>SUM(I17:I21)+I33+I38</f>
        <v>150.62762499999999</v>
      </c>
      <c r="L19" s="19"/>
    </row>
    <row r="20" spans="1:12" x14ac:dyDescent="0.25">
      <c r="B20" s="100" t="s">
        <v>339</v>
      </c>
      <c r="D20" s="100" t="s">
        <v>340</v>
      </c>
      <c r="E20" s="104">
        <f>3.3*0.04*0.08</f>
        <v>1.056E-2</v>
      </c>
      <c r="F20" s="100" t="s">
        <v>77</v>
      </c>
      <c r="G20">
        <v>750</v>
      </c>
      <c r="H20">
        <v>1.18</v>
      </c>
      <c r="I20" s="20">
        <f>G20*E20*H20</f>
        <v>9.3455999999999992</v>
      </c>
      <c r="L20" s="19"/>
    </row>
    <row r="21" spans="1:12" x14ac:dyDescent="0.25">
      <c r="B21" s="100" t="s">
        <v>304</v>
      </c>
      <c r="E21" s="19"/>
      <c r="I21">
        <v>15</v>
      </c>
      <c r="L21" s="19"/>
    </row>
    <row r="22" spans="1:12" x14ac:dyDescent="0.25">
      <c r="B22" s="100" t="s">
        <v>464</v>
      </c>
      <c r="E22" s="19"/>
      <c r="I22" s="20">
        <f>0.28*22*1.15</f>
        <v>7.0839999999999996</v>
      </c>
      <c r="L22" s="19"/>
    </row>
    <row r="23" spans="1:12" x14ac:dyDescent="0.25">
      <c r="B23" s="100" t="s">
        <v>465</v>
      </c>
      <c r="E23" s="19"/>
      <c r="I23" s="20">
        <f>0.5*25</f>
        <v>12.5</v>
      </c>
      <c r="L23" s="19"/>
    </row>
    <row r="24" spans="1:12" x14ac:dyDescent="0.25">
      <c r="B24" s="100"/>
      <c r="E24" s="104">
        <f>SUM(E18:E20)</f>
        <v>4.4325000000000003E-2</v>
      </c>
      <c r="F24" s="100" t="s">
        <v>281</v>
      </c>
      <c r="L24" s="19"/>
    </row>
    <row r="25" spans="1:12" x14ac:dyDescent="0.25">
      <c r="B25" s="100"/>
      <c r="D25" s="100"/>
      <c r="E25" s="19"/>
      <c r="F25" s="100"/>
      <c r="I25" s="20"/>
      <c r="L25" s="19"/>
    </row>
    <row r="26" spans="1:12" x14ac:dyDescent="0.25">
      <c r="A26" s="106" t="s">
        <v>310</v>
      </c>
      <c r="L26" s="19"/>
    </row>
    <row r="27" spans="1:12" x14ac:dyDescent="0.25">
      <c r="A27" s="100" t="s">
        <v>341</v>
      </c>
      <c r="C27" s="100" t="s">
        <v>422</v>
      </c>
      <c r="E27">
        <v>1</v>
      </c>
      <c r="F27" t="s">
        <v>421</v>
      </c>
      <c r="G27">
        <v>52</v>
      </c>
      <c r="H27">
        <v>1</v>
      </c>
      <c r="I27">
        <f>E27*G27*H27</f>
        <v>52</v>
      </c>
      <c r="L27" s="19"/>
    </row>
    <row r="28" spans="1:12" x14ac:dyDescent="0.25">
      <c r="L28" s="19"/>
    </row>
    <row r="29" spans="1:12" x14ac:dyDescent="0.25">
      <c r="A29" s="100" t="s">
        <v>315</v>
      </c>
      <c r="C29" s="100" t="s">
        <v>342</v>
      </c>
      <c r="E29">
        <v>2</v>
      </c>
      <c r="G29">
        <v>52</v>
      </c>
      <c r="H29">
        <v>1</v>
      </c>
      <c r="I29">
        <f>E29*G29*H29</f>
        <v>104</v>
      </c>
      <c r="L29" s="19"/>
    </row>
    <row r="30" spans="1:12" x14ac:dyDescent="0.25">
      <c r="A30" s="100" t="s">
        <v>344</v>
      </c>
      <c r="C30" s="100" t="s">
        <v>345</v>
      </c>
      <c r="E30" s="20">
        <f>(2*1.5*9)/52+0.01</f>
        <v>0.52923076923076928</v>
      </c>
      <c r="G30">
        <v>52</v>
      </c>
      <c r="H30">
        <v>1</v>
      </c>
      <c r="I30">
        <f>E30*G30*H30</f>
        <v>27.520000000000003</v>
      </c>
      <c r="J30">
        <f>SUM(I27:I30)</f>
        <v>183.52</v>
      </c>
      <c r="L30" s="19"/>
    </row>
    <row r="31" spans="1:12" x14ac:dyDescent="0.25">
      <c r="A31" s="100"/>
      <c r="C31" s="100"/>
      <c r="L31" s="19"/>
    </row>
    <row r="32" spans="1:12" x14ac:dyDescent="0.25">
      <c r="A32" s="106" t="s">
        <v>316</v>
      </c>
      <c r="C32" s="100"/>
      <c r="L32" s="19"/>
    </row>
    <row r="33" spans="1:14" x14ac:dyDescent="0.25">
      <c r="C33" s="100" t="s">
        <v>346</v>
      </c>
      <c r="E33">
        <v>2</v>
      </c>
      <c r="G33">
        <v>15</v>
      </c>
      <c r="H33">
        <v>1.18</v>
      </c>
      <c r="I33">
        <f>E33*G33*H33</f>
        <v>35.4</v>
      </c>
      <c r="L33" s="19"/>
    </row>
    <row r="34" spans="1:14" x14ac:dyDescent="0.25">
      <c r="L34" s="19"/>
    </row>
    <row r="35" spans="1:14" x14ac:dyDescent="0.25">
      <c r="D35" s="100" t="s">
        <v>318</v>
      </c>
      <c r="E35" s="20">
        <f>SUM(E27:E34)</f>
        <v>5.5292307692307698</v>
      </c>
      <c r="F35" s="100" t="s">
        <v>319</v>
      </c>
      <c r="L35" s="19"/>
    </row>
    <row r="36" spans="1:14" x14ac:dyDescent="0.25">
      <c r="L36" s="19"/>
    </row>
    <row r="37" spans="1:14" x14ac:dyDescent="0.25">
      <c r="A37" s="100"/>
      <c r="L37" s="19"/>
    </row>
    <row r="38" spans="1:14" x14ac:dyDescent="0.25">
      <c r="A38" s="100" t="s">
        <v>320</v>
      </c>
      <c r="C38" s="100" t="s">
        <v>321</v>
      </c>
      <c r="E38">
        <v>0.5</v>
      </c>
      <c r="F38" s="100" t="s">
        <v>177</v>
      </c>
      <c r="G38">
        <v>80</v>
      </c>
      <c r="H38">
        <v>1.18</v>
      </c>
      <c r="I38">
        <v>2</v>
      </c>
      <c r="L38" s="19"/>
    </row>
    <row r="39" spans="1:14" x14ac:dyDescent="0.25">
      <c r="F39" s="100"/>
      <c r="L39" s="19"/>
    </row>
    <row r="40" spans="1:14" x14ac:dyDescent="0.25">
      <c r="L40" s="19"/>
    </row>
    <row r="41" spans="1:14" x14ac:dyDescent="0.25">
      <c r="I41" s="102">
        <f>SUM(I17:I39)</f>
        <v>353.73162499999995</v>
      </c>
      <c r="J41" s="103" t="s">
        <v>347</v>
      </c>
      <c r="L41" s="19"/>
    </row>
    <row r="42" spans="1:14" x14ac:dyDescent="0.25">
      <c r="L42" s="19"/>
    </row>
    <row r="43" spans="1:14" x14ac:dyDescent="0.25">
      <c r="D43" s="20"/>
      <c r="G43" s="20"/>
      <c r="L43" s="19"/>
    </row>
    <row r="44" spans="1:14" x14ac:dyDescent="0.25">
      <c r="J44" s="20"/>
      <c r="L44" s="19"/>
    </row>
    <row r="45" spans="1:14" x14ac:dyDescent="0.25">
      <c r="L45" s="19"/>
    </row>
    <row r="46" spans="1:14" x14ac:dyDescent="0.25">
      <c r="A46" s="132" t="s">
        <v>451</v>
      </c>
      <c r="F46" s="33"/>
      <c r="G46" s="34"/>
      <c r="L46" s="19"/>
      <c r="N46" s="20"/>
    </row>
    <row r="47" spans="1:14" x14ac:dyDescent="0.25">
      <c r="A47" s="128" t="s">
        <v>303</v>
      </c>
      <c r="G47" s="56" t="s">
        <v>301</v>
      </c>
      <c r="H47" s="127" t="s">
        <v>302</v>
      </c>
      <c r="I47" s="56" t="s">
        <v>42</v>
      </c>
    </row>
    <row r="48" spans="1:14" x14ac:dyDescent="0.25">
      <c r="E48" s="19"/>
      <c r="I48" s="20"/>
    </row>
    <row r="49" spans="1:23" x14ac:dyDescent="0.25">
      <c r="B49" t="s">
        <v>381</v>
      </c>
      <c r="D49" t="s">
        <v>449</v>
      </c>
      <c r="E49" s="104">
        <f>5.8*0.16*0.03*1.05</f>
        <v>2.9231999999999998E-2</v>
      </c>
      <c r="F49" s="100" t="s">
        <v>77</v>
      </c>
      <c r="G49">
        <v>750</v>
      </c>
      <c r="H49">
        <v>1.1499999999999999</v>
      </c>
      <c r="I49" s="20">
        <f>G49*E49*H49</f>
        <v>25.212599999999998</v>
      </c>
    </row>
    <row r="50" spans="1:23" ht="15.75" x14ac:dyDescent="0.3">
      <c r="B50" s="100" t="s">
        <v>446</v>
      </c>
      <c r="D50" s="100" t="s">
        <v>449</v>
      </c>
      <c r="E50" s="104">
        <f>0.08*0.03*5.8*1.05</f>
        <v>1.4615999999999999E-2</v>
      </c>
      <c r="F50" s="100" t="s">
        <v>77</v>
      </c>
      <c r="G50">
        <v>750</v>
      </c>
      <c r="H50">
        <v>1.1499999999999999</v>
      </c>
      <c r="I50" s="20">
        <f>G50*E50*H50</f>
        <v>12.606299999999999</v>
      </c>
      <c r="K50" s="1"/>
      <c r="L50" s="1"/>
      <c r="M50" s="1"/>
    </row>
    <row r="51" spans="1:23" x14ac:dyDescent="0.25">
      <c r="B51" s="100" t="s">
        <v>447</v>
      </c>
      <c r="D51" s="100" t="s">
        <v>452</v>
      </c>
      <c r="E51" s="104">
        <f>0.06*0.08*2.2</f>
        <v>1.056E-2</v>
      </c>
      <c r="F51" s="100" t="s">
        <v>77</v>
      </c>
      <c r="G51">
        <v>750</v>
      </c>
      <c r="H51">
        <v>1.1499999999999999</v>
      </c>
      <c r="I51" s="20">
        <f>G51*E51*H51</f>
        <v>9.1079999999999988</v>
      </c>
      <c r="J51" s="20">
        <f>SUM(I49:I51)</f>
        <v>46.926899999999996</v>
      </c>
      <c r="L51" s="20">
        <f>J51*53.5</f>
        <v>2510.5891499999998</v>
      </c>
    </row>
    <row r="52" spans="1:23" x14ac:dyDescent="0.25">
      <c r="B52" s="100"/>
      <c r="D52" s="100"/>
      <c r="E52" s="104">
        <f>SUM(E49:E51)</f>
        <v>5.4407999999999998E-2</v>
      </c>
      <c r="F52" s="100" t="s">
        <v>281</v>
      </c>
      <c r="I52" s="20"/>
      <c r="L52" s="20"/>
    </row>
    <row r="53" spans="1:23" ht="15.75" x14ac:dyDescent="0.3">
      <c r="B53" s="100" t="s">
        <v>304</v>
      </c>
      <c r="E53" s="19"/>
      <c r="I53">
        <f>6+13</f>
        <v>19</v>
      </c>
      <c r="L53" s="20"/>
      <c r="N53" s="7"/>
      <c r="O53" s="142"/>
      <c r="P53" s="142"/>
      <c r="Q53" s="142"/>
      <c r="R53" s="1"/>
      <c r="S53" s="1"/>
      <c r="T53" s="7"/>
      <c r="U53" s="35"/>
      <c r="V53" s="15"/>
      <c r="W53" s="1"/>
    </row>
    <row r="54" spans="1:23" ht="15.75" x14ac:dyDescent="0.3">
      <c r="B54" s="100" t="s">
        <v>448</v>
      </c>
      <c r="E54" s="20">
        <f>(53.5*2+7)*1.12*0.03*0.16*750*1.15+10*100*0.2*1.15</f>
        <v>758.59519999999998</v>
      </c>
      <c r="F54" s="20"/>
      <c r="G54" s="20"/>
      <c r="H54" s="20"/>
      <c r="I54" s="20">
        <f>E54/53</f>
        <v>14.313116981132074</v>
      </c>
      <c r="J54" s="20">
        <f>I53+I54</f>
        <v>33.313116981132076</v>
      </c>
      <c r="L54" s="20">
        <f>J54*53.5</f>
        <v>1782.2517584905661</v>
      </c>
      <c r="N54" s="1"/>
      <c r="O54" s="8"/>
      <c r="P54" s="143"/>
      <c r="Q54" s="143"/>
      <c r="R54" s="1"/>
      <c r="S54" s="1"/>
      <c r="T54" s="1"/>
      <c r="U54" s="15"/>
      <c r="V54" s="1"/>
      <c r="W54" s="1"/>
    </row>
    <row r="55" spans="1:23" ht="15.75" x14ac:dyDescent="0.3">
      <c r="B55" s="100"/>
      <c r="D55" s="100"/>
      <c r="E55" s="19"/>
      <c r="F55" s="100"/>
      <c r="I55" s="20"/>
      <c r="L55" s="20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3">
      <c r="A56" s="106" t="s">
        <v>310</v>
      </c>
      <c r="L56" s="20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3">
      <c r="A57" s="100" t="s">
        <v>329</v>
      </c>
      <c r="C57" s="100" t="s">
        <v>453</v>
      </c>
      <c r="E57" s="20">
        <f>12/53.5</f>
        <v>0.22429906542056074</v>
      </c>
      <c r="F57" t="s">
        <v>421</v>
      </c>
      <c r="G57">
        <v>50</v>
      </c>
      <c r="H57">
        <v>1</v>
      </c>
      <c r="I57" s="20">
        <f>E57*G57*H57</f>
        <v>11.214953271028037</v>
      </c>
      <c r="J57" t="s">
        <v>347</v>
      </c>
      <c r="L57" s="20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3">
      <c r="L58" s="20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3">
      <c r="A59" s="100" t="s">
        <v>315</v>
      </c>
      <c r="C59" s="100" t="s">
        <v>454</v>
      </c>
      <c r="E59" s="20">
        <f>(2*4*8)/53.5</f>
        <v>1.1962616822429906</v>
      </c>
      <c r="F59" t="s">
        <v>421</v>
      </c>
      <c r="G59">
        <v>50</v>
      </c>
      <c r="H59">
        <v>1</v>
      </c>
      <c r="I59" s="20">
        <f>E59*G59*H59</f>
        <v>59.813084112149525</v>
      </c>
      <c r="J59" t="s">
        <v>347</v>
      </c>
      <c r="L59" s="20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3">
      <c r="A60" s="100"/>
      <c r="C60" s="100"/>
      <c r="J60" s="20">
        <f>SUM(I57:I60)</f>
        <v>71.028037383177562</v>
      </c>
      <c r="L60" s="20">
        <f>J60*53.5</f>
        <v>3799.9999999999995</v>
      </c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3">
      <c r="A61" s="100"/>
      <c r="C61" s="100"/>
      <c r="L61" s="20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06" t="s">
        <v>316</v>
      </c>
      <c r="C62" s="100"/>
      <c r="L62" s="20"/>
    </row>
    <row r="63" spans="1:23" x14ac:dyDescent="0.25">
      <c r="C63" s="100"/>
      <c r="E63">
        <f>4/50</f>
        <v>0.08</v>
      </c>
      <c r="G63">
        <v>25</v>
      </c>
      <c r="H63">
        <v>1.18</v>
      </c>
      <c r="I63">
        <f>E63*G63*H63</f>
        <v>2.36</v>
      </c>
      <c r="L63" s="20">
        <f>I63*53.5</f>
        <v>126.25999999999999</v>
      </c>
    </row>
    <row r="64" spans="1:23" x14ac:dyDescent="0.25">
      <c r="L64" s="20"/>
    </row>
    <row r="65" spans="1:12" x14ac:dyDescent="0.25">
      <c r="D65" s="100" t="s">
        <v>318</v>
      </c>
      <c r="E65">
        <f>SUM(E57:E61)</f>
        <v>1.4205607476635513</v>
      </c>
      <c r="F65" s="100" t="s">
        <v>319</v>
      </c>
      <c r="L65" s="20"/>
    </row>
    <row r="66" spans="1:12" x14ac:dyDescent="0.25">
      <c r="L66" s="20"/>
    </row>
    <row r="67" spans="1:12" x14ac:dyDescent="0.25">
      <c r="A67" s="100"/>
      <c r="L67" s="20"/>
    </row>
    <row r="68" spans="1:12" x14ac:dyDescent="0.25">
      <c r="A68" s="100" t="s">
        <v>320</v>
      </c>
      <c r="C68" s="100" t="s">
        <v>321</v>
      </c>
      <c r="E68">
        <v>0.5</v>
      </c>
      <c r="F68" s="100" t="s">
        <v>177</v>
      </c>
      <c r="G68">
        <v>80</v>
      </c>
      <c r="I68">
        <f>(E68*G68)/50</f>
        <v>0.8</v>
      </c>
      <c r="L68" s="20">
        <f>0.8*53.5</f>
        <v>42.800000000000004</v>
      </c>
    </row>
    <row r="69" spans="1:12" x14ac:dyDescent="0.25">
      <c r="A69" t="s">
        <v>450</v>
      </c>
      <c r="F69" s="100"/>
      <c r="I69">
        <v>1</v>
      </c>
      <c r="L69" s="20">
        <f>I69*53.5</f>
        <v>53.5</v>
      </c>
    </row>
    <row r="70" spans="1:12" x14ac:dyDescent="0.25">
      <c r="L70" s="20"/>
    </row>
    <row r="71" spans="1:12" x14ac:dyDescent="0.25">
      <c r="I71" s="102">
        <f>SUM(I48:I70)</f>
        <v>155.42805436430965</v>
      </c>
      <c r="J71" s="103" t="s">
        <v>347</v>
      </c>
    </row>
    <row r="76" spans="1:12" x14ac:dyDescent="0.25">
      <c r="A76" s="132" t="s">
        <v>481</v>
      </c>
    </row>
    <row r="77" spans="1:12" x14ac:dyDescent="0.25">
      <c r="E77" t="s">
        <v>484</v>
      </c>
    </row>
    <row r="78" spans="1:12" x14ac:dyDescent="0.25">
      <c r="A78" s="48" t="s">
        <v>482</v>
      </c>
      <c r="C78" t="s">
        <v>498</v>
      </c>
      <c r="D78" t="s">
        <v>483</v>
      </c>
      <c r="E78">
        <f>78*0.16</f>
        <v>12.48</v>
      </c>
      <c r="F78" t="s">
        <v>97</v>
      </c>
      <c r="G78" t="s">
        <v>485</v>
      </c>
      <c r="I78">
        <f>165*E78</f>
        <v>2059.2000000000003</v>
      </c>
    </row>
    <row r="80" spans="1:12" x14ac:dyDescent="0.25">
      <c r="C80" t="s">
        <v>486</v>
      </c>
      <c r="E80">
        <f>(1.35+1.59)*0.82</f>
        <v>2.4108000000000001</v>
      </c>
      <c r="F80" t="s">
        <v>97</v>
      </c>
      <c r="I80">
        <f>E80*165</f>
        <v>397.78199999999998</v>
      </c>
    </row>
    <row r="81" spans="3:11" x14ac:dyDescent="0.25">
      <c r="C81" t="s">
        <v>491</v>
      </c>
      <c r="E81">
        <f>1*0.82</f>
        <v>0.82</v>
      </c>
      <c r="F81" t="s">
        <v>97</v>
      </c>
      <c r="G81" t="s">
        <v>492</v>
      </c>
      <c r="I81">
        <f>E81*165</f>
        <v>135.29999999999998</v>
      </c>
    </row>
    <row r="82" spans="3:11" x14ac:dyDescent="0.25">
      <c r="C82" t="s">
        <v>487</v>
      </c>
      <c r="E82" t="s">
        <v>488</v>
      </c>
      <c r="I82">
        <f>150/165</f>
        <v>0.90909090909090906</v>
      </c>
    </row>
    <row r="84" spans="3:11" x14ac:dyDescent="0.25">
      <c r="C84" t="s">
        <v>493</v>
      </c>
      <c r="E84" t="s">
        <v>489</v>
      </c>
      <c r="I84">
        <f>165/31</f>
        <v>5.32258064516129</v>
      </c>
    </row>
    <row r="85" spans="3:11" x14ac:dyDescent="0.25">
      <c r="C85" t="s">
        <v>494</v>
      </c>
      <c r="E85" t="s">
        <v>495</v>
      </c>
      <c r="I85">
        <f>220/165</f>
        <v>1.3333333333333333</v>
      </c>
    </row>
    <row r="86" spans="3:11" x14ac:dyDescent="0.25">
      <c r="C86" t="s">
        <v>490</v>
      </c>
      <c r="E86" t="s">
        <v>496</v>
      </c>
      <c r="I86">
        <f>SUM(I78:I85)*0.2</f>
        <v>519.96940097751735</v>
      </c>
    </row>
    <row r="88" spans="3:11" x14ac:dyDescent="0.25">
      <c r="I88">
        <f>SUM(I78:I87)</f>
        <v>3119.8164058651037</v>
      </c>
      <c r="J88">
        <f>I88/165</f>
        <v>18.907978217364263</v>
      </c>
      <c r="K88">
        <f>J88*1.15</f>
        <v>21.744174949968901</v>
      </c>
    </row>
    <row r="90" spans="3:11" x14ac:dyDescent="0.25">
      <c r="C90" t="s">
        <v>497</v>
      </c>
    </row>
  </sheetData>
  <mergeCells count="2">
    <mergeCell ref="O53:Q53"/>
    <mergeCell ref="P54:Q54"/>
  </mergeCells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36"/>
  <sheetViews>
    <sheetView zoomScale="115" zoomScaleNormal="115" workbookViewId="0">
      <selection activeCell="A9" sqref="A9:XFD9"/>
    </sheetView>
  </sheetViews>
  <sheetFormatPr baseColWidth="10" defaultColWidth="11.42578125" defaultRowHeight="13.5" x14ac:dyDescent="0.3"/>
  <cols>
    <col min="1" max="1" width="23.42578125" style="1" customWidth="1"/>
    <col min="2" max="2" width="2.85546875" style="1" customWidth="1"/>
    <col min="3" max="3" width="7" style="2" customWidth="1"/>
    <col min="4" max="4" width="9.140625" style="1" customWidth="1"/>
    <col min="5" max="5" width="6.85546875" style="1" customWidth="1"/>
    <col min="6" max="6" width="7.85546875" style="1" customWidth="1"/>
    <col min="7" max="7" width="8.5703125" style="1" customWidth="1"/>
    <col min="8" max="8" width="9" style="1" customWidth="1"/>
    <col min="9" max="10" width="7.5703125" style="1" customWidth="1"/>
    <col min="11" max="11" width="4" style="1" bestFit="1" customWidth="1"/>
    <col min="12" max="13" width="4.85546875" style="1" bestFit="1" customWidth="1"/>
    <col min="14" max="14" width="4" style="1" bestFit="1" customWidth="1"/>
    <col min="15" max="15" width="4.42578125" style="1" bestFit="1" customWidth="1"/>
    <col min="16" max="16" width="5.5703125" style="1" bestFit="1" customWidth="1"/>
    <col min="17" max="17" width="5" style="1" bestFit="1" customWidth="1"/>
    <col min="18" max="18" width="4" style="1" bestFit="1" customWidth="1"/>
    <col min="19" max="19" width="7.42578125" style="1" customWidth="1"/>
    <col min="20" max="20" width="7.5703125" style="1" bestFit="1" customWidth="1"/>
    <col min="21" max="21" width="7" style="1" bestFit="1" customWidth="1"/>
    <col min="22" max="22" width="11.42578125" style="1"/>
    <col min="23" max="23" width="4.85546875" style="1" bestFit="1" customWidth="1"/>
    <col min="24" max="16384" width="11.42578125" style="1"/>
  </cols>
  <sheetData>
    <row r="1" spans="1:27" x14ac:dyDescent="0.3">
      <c r="G1" s="4"/>
      <c r="H1" s="12"/>
      <c r="I1" s="3"/>
      <c r="J1" s="3"/>
      <c r="T1" s="4"/>
      <c r="U1" s="10"/>
      <c r="W1" s="1" t="s">
        <v>3</v>
      </c>
      <c r="X1" s="1" t="s">
        <v>46</v>
      </c>
      <c r="Y1" s="1">
        <v>210</v>
      </c>
      <c r="Z1" s="1" t="s">
        <v>47</v>
      </c>
      <c r="AA1" s="1">
        <v>50</v>
      </c>
    </row>
    <row r="2" spans="1:27" x14ac:dyDescent="0.3">
      <c r="C2" s="2" t="s">
        <v>0</v>
      </c>
      <c r="D2" s="1" t="s">
        <v>5</v>
      </c>
      <c r="E2" s="1" t="s">
        <v>37</v>
      </c>
      <c r="F2" s="1" t="s">
        <v>1</v>
      </c>
      <c r="G2" s="9" t="s">
        <v>38</v>
      </c>
      <c r="H2" s="13" t="s">
        <v>2</v>
      </c>
      <c r="I2" s="6" t="s">
        <v>19</v>
      </c>
      <c r="J2" s="6"/>
      <c r="K2" s="142" t="s">
        <v>10</v>
      </c>
      <c r="L2" s="142"/>
      <c r="M2" s="142"/>
      <c r="N2" s="7"/>
      <c r="O2" s="142" t="s">
        <v>9</v>
      </c>
      <c r="P2" s="142"/>
      <c r="Q2" s="142"/>
      <c r="T2" s="9" t="s">
        <v>43</v>
      </c>
      <c r="U2" s="11" t="s">
        <v>42</v>
      </c>
      <c r="V2" s="15" t="s">
        <v>49</v>
      </c>
      <c r="X2" s="1" t="s">
        <v>54</v>
      </c>
      <c r="Y2" s="1">
        <f>13.6*2</f>
        <v>27.2</v>
      </c>
      <c r="Z2" s="1" t="s">
        <v>67</v>
      </c>
      <c r="AA2" s="1">
        <v>40</v>
      </c>
    </row>
    <row r="3" spans="1:27" x14ac:dyDescent="0.3">
      <c r="G3" s="4"/>
      <c r="H3" s="12"/>
      <c r="I3" s="3"/>
      <c r="J3" s="3"/>
      <c r="K3" s="5"/>
      <c r="L3" s="5"/>
      <c r="M3" s="5"/>
      <c r="O3" s="8" t="s">
        <v>39</v>
      </c>
      <c r="P3" s="143" t="s">
        <v>40</v>
      </c>
      <c r="Q3" s="143"/>
      <c r="T3" s="4"/>
      <c r="U3" s="14" t="s">
        <v>41</v>
      </c>
      <c r="X3" s="1" t="s">
        <v>55</v>
      </c>
      <c r="Y3" s="1">
        <v>15.5</v>
      </c>
      <c r="Z3" s="1" t="s">
        <v>100</v>
      </c>
      <c r="AA3" s="1">
        <v>20</v>
      </c>
    </row>
    <row r="4" spans="1:27" x14ac:dyDescent="0.3">
      <c r="A4" s="1" t="s">
        <v>8</v>
      </c>
      <c r="B4" s="1" t="s">
        <v>35</v>
      </c>
      <c r="C4" s="2">
        <v>1</v>
      </c>
      <c r="D4" s="1">
        <v>2.81</v>
      </c>
      <c r="E4" s="1">
        <v>1.35</v>
      </c>
      <c r="F4" s="1">
        <v>1.18</v>
      </c>
      <c r="G4" s="4">
        <f>C4*E4*F4*D4</f>
        <v>4.4763299999999999</v>
      </c>
      <c r="H4" s="12">
        <v>0.2</v>
      </c>
      <c r="I4" s="3"/>
      <c r="J4" s="3"/>
      <c r="O4" s="1">
        <v>3</v>
      </c>
      <c r="P4" s="1">
        <v>35</v>
      </c>
      <c r="Q4" s="1" t="s">
        <v>6</v>
      </c>
      <c r="R4" s="1">
        <f>O4/P4</f>
        <v>8.5714285714285715E-2</v>
      </c>
      <c r="S4" s="1">
        <f>R4+N4</f>
        <v>8.5714285714285715E-2</v>
      </c>
      <c r="T4" s="4">
        <f t="shared" ref="T4:T22" si="0">S4*W4</f>
        <v>4.7142857142857144</v>
      </c>
      <c r="U4" s="10">
        <f t="shared" ref="U4:U22" si="1">G4+H4+T4+I4</f>
        <v>9.3906157142857154</v>
      </c>
      <c r="V4" s="1">
        <f>Y1*U4</f>
        <v>1972.0293000000001</v>
      </c>
      <c r="W4" s="1">
        <v>55</v>
      </c>
      <c r="X4" s="17">
        <v>200</v>
      </c>
      <c r="Y4" s="1" t="s">
        <v>48</v>
      </c>
    </row>
    <row r="5" spans="1:27" x14ac:dyDescent="0.3">
      <c r="A5" s="1" t="s">
        <v>26</v>
      </c>
      <c r="B5" s="1" t="s">
        <v>35</v>
      </c>
      <c r="C5" s="2">
        <f>0.025</f>
        <v>2.5000000000000001E-2</v>
      </c>
      <c r="D5" s="1">
        <v>250</v>
      </c>
      <c r="E5" s="1">
        <v>1.1200000000000001</v>
      </c>
      <c r="F5" s="1">
        <v>1.18</v>
      </c>
      <c r="G5" s="4">
        <f t="shared" ref="G5:G21" si="2">C5*E5*F5*D5</f>
        <v>8.26</v>
      </c>
      <c r="H5" s="12">
        <v>0.15</v>
      </c>
      <c r="I5" s="3"/>
      <c r="J5" s="3"/>
      <c r="O5" s="1">
        <v>3</v>
      </c>
      <c r="P5" s="1">
        <v>16</v>
      </c>
      <c r="Q5" s="1" t="s">
        <v>6</v>
      </c>
      <c r="R5" s="1">
        <f t="shared" ref="R5:R6" si="3">O5/P5</f>
        <v>0.1875</v>
      </c>
      <c r="S5" s="1">
        <f>R5+N5</f>
        <v>0.1875</v>
      </c>
      <c r="T5" s="4">
        <f t="shared" si="0"/>
        <v>10.3125</v>
      </c>
      <c r="U5" s="10">
        <f t="shared" si="1"/>
        <v>18.7225</v>
      </c>
      <c r="V5" s="1">
        <f>Y1*U5</f>
        <v>3931.7249999999999</v>
      </c>
      <c r="W5" s="1">
        <v>55</v>
      </c>
      <c r="X5" s="17"/>
    </row>
    <row r="6" spans="1:27" x14ac:dyDescent="0.3">
      <c r="A6" s="1" t="s">
        <v>7</v>
      </c>
      <c r="B6" s="1" t="s">
        <v>35</v>
      </c>
      <c r="C6" s="2">
        <f>1/0.3*0.05*0.04</f>
        <v>6.666666666666668E-3</v>
      </c>
      <c r="D6" s="1">
        <v>320</v>
      </c>
      <c r="E6" s="1">
        <v>1.1499999999999999</v>
      </c>
      <c r="F6" s="1">
        <v>1.18</v>
      </c>
      <c r="G6" s="4">
        <f t="shared" si="2"/>
        <v>2.8949333333333338</v>
      </c>
      <c r="H6" s="12">
        <v>0.25</v>
      </c>
      <c r="I6" s="3"/>
      <c r="J6" s="3"/>
      <c r="O6" s="1">
        <v>3</v>
      </c>
      <c r="P6" s="1">
        <v>20</v>
      </c>
      <c r="Q6" s="1" t="s">
        <v>6</v>
      </c>
      <c r="R6" s="1">
        <f t="shared" si="3"/>
        <v>0.15</v>
      </c>
      <c r="S6" s="1">
        <f t="shared" ref="S6:S22" si="4">R6+N6</f>
        <v>0.15</v>
      </c>
      <c r="T6" s="4">
        <f t="shared" si="0"/>
        <v>8.25</v>
      </c>
      <c r="U6" s="10">
        <f t="shared" si="1"/>
        <v>11.394933333333334</v>
      </c>
      <c r="V6" s="1">
        <f>Y1*U6</f>
        <v>2392.9360000000001</v>
      </c>
      <c r="W6" s="1">
        <v>55</v>
      </c>
      <c r="X6" s="17"/>
    </row>
    <row r="7" spans="1:27" x14ac:dyDescent="0.3">
      <c r="A7" s="1" t="s">
        <v>4</v>
      </c>
      <c r="B7" s="1" t="s">
        <v>35</v>
      </c>
      <c r="C7" s="2">
        <f>1/0.7*0.06*0.08</f>
        <v>6.8571428571428577E-3</v>
      </c>
      <c r="D7" s="1">
        <v>320</v>
      </c>
      <c r="E7" s="1">
        <v>1.1499999999999999</v>
      </c>
      <c r="F7" s="1">
        <v>1.18</v>
      </c>
      <c r="G7" s="4">
        <f t="shared" ref="G7:G17" si="5">C7*E7*F7*D7</f>
        <v>2.9776457142857145</v>
      </c>
      <c r="H7" s="12">
        <v>0.3</v>
      </c>
      <c r="I7" s="3"/>
      <c r="J7" s="3"/>
      <c r="O7" s="1">
        <v>3</v>
      </c>
      <c r="P7" s="1">
        <v>25</v>
      </c>
      <c r="Q7" s="1" t="s">
        <v>6</v>
      </c>
      <c r="R7" s="1">
        <f>O7/P7</f>
        <v>0.12</v>
      </c>
      <c r="S7" s="1">
        <f t="shared" ref="S7:S17" si="6">R7+N7</f>
        <v>0.12</v>
      </c>
      <c r="T7" s="4">
        <f t="shared" si="0"/>
        <v>6.6</v>
      </c>
      <c r="U7" s="10">
        <f t="shared" si="1"/>
        <v>9.8776457142857144</v>
      </c>
      <c r="V7" s="1">
        <f>Y1*U7</f>
        <v>2074.3056000000001</v>
      </c>
      <c r="W7" s="1">
        <v>55</v>
      </c>
      <c r="X7" s="17"/>
    </row>
    <row r="8" spans="1:27" x14ac:dyDescent="0.3">
      <c r="A8" s="1" t="s">
        <v>16</v>
      </c>
      <c r="B8" s="1" t="s">
        <v>35</v>
      </c>
      <c r="C8" s="2">
        <v>1.65</v>
      </c>
      <c r="D8" s="1">
        <v>0.38</v>
      </c>
      <c r="E8" s="1">
        <v>1.1000000000000001</v>
      </c>
      <c r="F8" s="1">
        <v>1.18</v>
      </c>
      <c r="G8" s="4">
        <f t="shared" si="5"/>
        <v>0.81384599999999985</v>
      </c>
      <c r="H8" s="12"/>
      <c r="I8" s="3"/>
      <c r="J8" s="3"/>
      <c r="O8" s="1">
        <v>3</v>
      </c>
      <c r="P8" s="1">
        <v>150</v>
      </c>
      <c r="Q8" s="1" t="s">
        <v>24</v>
      </c>
      <c r="S8" s="1">
        <f t="shared" si="6"/>
        <v>0</v>
      </c>
      <c r="T8" s="4">
        <f t="shared" si="0"/>
        <v>0</v>
      </c>
      <c r="U8" s="10">
        <f t="shared" si="1"/>
        <v>0.81384599999999985</v>
      </c>
      <c r="V8" s="1">
        <f>Y1*U8</f>
        <v>170.90765999999996</v>
      </c>
      <c r="W8" s="1">
        <v>55</v>
      </c>
      <c r="X8" s="17"/>
    </row>
    <row r="9" spans="1:27" x14ac:dyDescent="0.3">
      <c r="A9" s="1" t="s">
        <v>17</v>
      </c>
      <c r="B9" s="1" t="s">
        <v>35</v>
      </c>
      <c r="C9" s="2">
        <v>1</v>
      </c>
      <c r="D9" s="1">
        <v>6.38</v>
      </c>
      <c r="E9" s="1">
        <v>1.35</v>
      </c>
      <c r="F9" s="1">
        <v>1.18</v>
      </c>
      <c r="G9" s="4">
        <f t="shared" si="5"/>
        <v>10.16334</v>
      </c>
      <c r="H9" s="12">
        <v>0.05</v>
      </c>
      <c r="I9" s="3">
        <v>0.9</v>
      </c>
      <c r="J9" s="3"/>
      <c r="O9" s="1">
        <v>3</v>
      </c>
      <c r="P9" s="1">
        <v>30</v>
      </c>
      <c r="Q9" s="1" t="s">
        <v>6</v>
      </c>
      <c r="R9" s="1">
        <f t="shared" ref="R9:R17" si="7">O9/P9</f>
        <v>0.1</v>
      </c>
      <c r="S9" s="1">
        <f t="shared" si="6"/>
        <v>0.1</v>
      </c>
      <c r="T9" s="4">
        <f t="shared" si="0"/>
        <v>5.5</v>
      </c>
      <c r="U9" s="10">
        <f t="shared" si="1"/>
        <v>16.613340000000001</v>
      </c>
      <c r="V9" s="1">
        <f>Y1*U9</f>
        <v>3488.8014000000003</v>
      </c>
      <c r="W9" s="1">
        <v>55</v>
      </c>
      <c r="X9" s="17"/>
    </row>
    <row r="10" spans="1:27" x14ac:dyDescent="0.3">
      <c r="A10" s="1" t="s">
        <v>59</v>
      </c>
      <c r="B10" s="1" t="s">
        <v>35</v>
      </c>
      <c r="C10" s="2">
        <v>1</v>
      </c>
      <c r="D10" s="1">
        <v>14</v>
      </c>
      <c r="E10" s="1">
        <v>1.1200000000000001</v>
      </c>
      <c r="F10" s="1">
        <v>1.18</v>
      </c>
      <c r="G10" s="4">
        <f t="shared" si="5"/>
        <v>18.502400000000002</v>
      </c>
      <c r="H10" s="12">
        <v>0.2</v>
      </c>
      <c r="I10" s="3"/>
      <c r="J10" s="3"/>
      <c r="O10" s="1">
        <v>3</v>
      </c>
      <c r="P10" s="1">
        <v>16</v>
      </c>
      <c r="Q10" s="1" t="s">
        <v>6</v>
      </c>
      <c r="R10" s="1">
        <f t="shared" si="7"/>
        <v>0.1875</v>
      </c>
      <c r="S10" s="1">
        <f t="shared" si="6"/>
        <v>0.1875</v>
      </c>
      <c r="T10" s="4">
        <f t="shared" si="0"/>
        <v>10.3125</v>
      </c>
      <c r="U10" s="10">
        <f t="shared" si="1"/>
        <v>29.014900000000001</v>
      </c>
      <c r="V10" s="1">
        <f>Y1*U10</f>
        <v>6093.1289999999999</v>
      </c>
      <c r="W10" s="1">
        <v>55</v>
      </c>
      <c r="X10" s="17"/>
    </row>
    <row r="11" spans="1:27" x14ac:dyDescent="0.3">
      <c r="A11" s="1" t="s">
        <v>62</v>
      </c>
      <c r="B11" s="1" t="s">
        <v>35</v>
      </c>
      <c r="C11" s="2">
        <v>1</v>
      </c>
      <c r="D11" s="1">
        <v>39</v>
      </c>
      <c r="E11" s="1">
        <v>1.1200000000000001</v>
      </c>
      <c r="F11" s="1">
        <v>1.18</v>
      </c>
      <c r="G11" s="4">
        <f t="shared" si="5"/>
        <v>51.542400000000001</v>
      </c>
      <c r="H11" s="12">
        <v>0.15</v>
      </c>
      <c r="I11" s="3">
        <v>0.5</v>
      </c>
      <c r="J11" s="3"/>
      <c r="O11" s="1">
        <v>3</v>
      </c>
      <c r="P11" s="1">
        <v>15</v>
      </c>
      <c r="Q11" s="1" t="s">
        <v>6</v>
      </c>
      <c r="R11" s="1">
        <f t="shared" si="7"/>
        <v>0.2</v>
      </c>
      <c r="S11" s="1">
        <f t="shared" si="6"/>
        <v>0.2</v>
      </c>
      <c r="T11" s="4">
        <f t="shared" si="0"/>
        <v>11</v>
      </c>
      <c r="U11" s="10">
        <f t="shared" si="1"/>
        <v>63.192399999999999</v>
      </c>
      <c r="V11" s="1">
        <f>Y1*U11</f>
        <v>13270.404</v>
      </c>
      <c r="W11" s="1">
        <v>55</v>
      </c>
      <c r="X11" s="17"/>
    </row>
    <row r="12" spans="1:27" x14ac:dyDescent="0.3">
      <c r="A12" s="1" t="s">
        <v>107</v>
      </c>
      <c r="B12" s="1" t="s">
        <v>35</v>
      </c>
      <c r="C12" s="2">
        <v>1</v>
      </c>
      <c r="D12" s="1">
        <v>44</v>
      </c>
      <c r="E12" s="1">
        <v>1.1200000000000001</v>
      </c>
      <c r="F12" s="1">
        <v>1.18</v>
      </c>
      <c r="G12" s="4">
        <f t="shared" ref="G12" si="8">C12*E12*F12*D12</f>
        <v>58.150400000000005</v>
      </c>
      <c r="H12" s="12">
        <v>0.15</v>
      </c>
      <c r="I12" s="3">
        <v>2.2999999999999998</v>
      </c>
      <c r="J12" s="3"/>
      <c r="O12" s="1">
        <v>3</v>
      </c>
      <c r="P12" s="1">
        <v>15</v>
      </c>
      <c r="Q12" s="1" t="s">
        <v>6</v>
      </c>
      <c r="R12" s="1">
        <f t="shared" ref="R12" si="9">O12/P12</f>
        <v>0.2</v>
      </c>
      <c r="S12" s="1">
        <f t="shared" ref="S12" si="10">R12+N12</f>
        <v>0.2</v>
      </c>
      <c r="T12" s="4">
        <f t="shared" ref="T12" si="11">S12*W12</f>
        <v>11</v>
      </c>
      <c r="U12" s="10">
        <f t="shared" ref="U12" si="12">G12+H12+T12+I12</f>
        <v>71.600399999999993</v>
      </c>
      <c r="V12" s="1">
        <f>Y2*U12</f>
        <v>1947.5308799999998</v>
      </c>
      <c r="W12" s="1">
        <v>55</v>
      </c>
      <c r="X12" s="17"/>
    </row>
    <row r="13" spans="1:27" x14ac:dyDescent="0.3">
      <c r="A13" s="1" t="s">
        <v>63</v>
      </c>
      <c r="B13" s="1" t="s">
        <v>35</v>
      </c>
      <c r="C13" s="2">
        <v>1</v>
      </c>
      <c r="D13" s="1">
        <v>36</v>
      </c>
      <c r="E13" s="1">
        <v>1.1200000000000001</v>
      </c>
      <c r="F13" s="1">
        <v>1.18</v>
      </c>
      <c r="G13" s="4">
        <f t="shared" si="5"/>
        <v>47.577600000000004</v>
      </c>
      <c r="H13" s="12"/>
      <c r="I13" s="3">
        <v>0.5</v>
      </c>
      <c r="J13" s="3"/>
      <c r="O13" s="1">
        <v>3</v>
      </c>
      <c r="P13" s="1">
        <v>15</v>
      </c>
      <c r="Q13" s="1" t="s">
        <v>6</v>
      </c>
      <c r="R13" s="1">
        <f t="shared" si="7"/>
        <v>0.2</v>
      </c>
      <c r="S13" s="1">
        <f t="shared" si="6"/>
        <v>0.2</v>
      </c>
      <c r="T13" s="4">
        <f t="shared" si="0"/>
        <v>11</v>
      </c>
      <c r="U13" s="10">
        <f t="shared" si="1"/>
        <v>59.077600000000004</v>
      </c>
      <c r="V13" s="1">
        <f>Y1*U13</f>
        <v>12406.296</v>
      </c>
      <c r="W13" s="1">
        <v>55</v>
      </c>
      <c r="X13" s="17"/>
    </row>
    <row r="14" spans="1:27" x14ac:dyDescent="0.3">
      <c r="A14" s="1" t="s">
        <v>64</v>
      </c>
      <c r="B14" s="1" t="s">
        <v>35</v>
      </c>
      <c r="C14" s="2">
        <f>1/0.7*0.06*0.16</f>
        <v>1.3714285714285715E-2</v>
      </c>
      <c r="D14" s="1">
        <v>600</v>
      </c>
      <c r="E14" s="1">
        <v>1.1000000000000001</v>
      </c>
      <c r="F14" s="1">
        <v>1.18</v>
      </c>
      <c r="G14" s="4">
        <f t="shared" si="5"/>
        <v>10.680685714285715</v>
      </c>
      <c r="H14" s="12">
        <v>0.5</v>
      </c>
      <c r="I14" s="3"/>
      <c r="J14" s="3"/>
      <c r="O14" s="1">
        <v>3</v>
      </c>
      <c r="P14" s="1">
        <v>25</v>
      </c>
      <c r="Q14" s="1" t="s">
        <v>6</v>
      </c>
      <c r="R14" s="1">
        <f t="shared" si="7"/>
        <v>0.12</v>
      </c>
      <c r="S14" s="1">
        <f t="shared" si="6"/>
        <v>0.12</v>
      </c>
      <c r="T14" s="4">
        <f t="shared" si="0"/>
        <v>6.6</v>
      </c>
      <c r="U14" s="10">
        <f t="shared" si="1"/>
        <v>17.780685714285717</v>
      </c>
      <c r="V14" s="1">
        <f>AA1*U14</f>
        <v>889.03428571428583</v>
      </c>
      <c r="W14" s="1">
        <v>55</v>
      </c>
      <c r="X14" s="17"/>
    </row>
    <row r="15" spans="1:27" x14ac:dyDescent="0.3">
      <c r="A15" s="1" t="s">
        <v>106</v>
      </c>
      <c r="B15" s="1" t="s">
        <v>35</v>
      </c>
      <c r="C15" s="2">
        <f>1/0.6*0.08*0.2</f>
        <v>2.6666666666666668E-2</v>
      </c>
      <c r="D15" s="1">
        <v>500</v>
      </c>
      <c r="E15" s="1">
        <v>1.1000000000000001</v>
      </c>
      <c r="F15" s="1">
        <v>1.18</v>
      </c>
      <c r="G15" s="4">
        <f t="shared" ref="G15" si="13">C15*E15*F15*D15</f>
        <v>17.306666666666668</v>
      </c>
      <c r="H15" s="12">
        <v>0.5</v>
      </c>
      <c r="I15" s="3"/>
      <c r="J15" s="3"/>
      <c r="O15" s="1">
        <v>3</v>
      </c>
      <c r="P15" s="1">
        <v>25</v>
      </c>
      <c r="Q15" s="1" t="s">
        <v>6</v>
      </c>
      <c r="R15" s="1">
        <f t="shared" ref="R15" si="14">O15/P15</f>
        <v>0.12</v>
      </c>
      <c r="S15" s="1">
        <f t="shared" ref="S15" si="15">R15+N15</f>
        <v>0.12</v>
      </c>
      <c r="T15" s="4">
        <f t="shared" ref="T15" si="16">S15*W15</f>
        <v>6.6</v>
      </c>
      <c r="U15" s="10">
        <f t="shared" ref="U15" si="17">G15+H15+T15+I15</f>
        <v>24.406666666666666</v>
      </c>
      <c r="V15" s="1">
        <f>AA2*U15</f>
        <v>976.26666666666665</v>
      </c>
      <c r="W15" s="1">
        <v>55</v>
      </c>
      <c r="X15" s="17"/>
    </row>
    <row r="16" spans="1:27" x14ac:dyDescent="0.3">
      <c r="A16" s="1" t="s">
        <v>116</v>
      </c>
      <c r="B16" s="1" t="s">
        <v>35</v>
      </c>
      <c r="C16" s="2">
        <f>1/0.7*0.08*0.28</f>
        <v>3.2000000000000008E-2</v>
      </c>
      <c r="D16" s="1">
        <v>600</v>
      </c>
      <c r="E16" s="1">
        <v>1.1000000000000001</v>
      </c>
      <c r="F16" s="1">
        <v>1.18</v>
      </c>
      <c r="G16" s="4">
        <f t="shared" si="5"/>
        <v>24.921600000000005</v>
      </c>
      <c r="H16" s="12">
        <v>0.5</v>
      </c>
      <c r="I16" s="3"/>
      <c r="J16" s="3"/>
      <c r="O16" s="1">
        <v>3</v>
      </c>
      <c r="P16" s="1">
        <v>25</v>
      </c>
      <c r="Q16" s="1" t="s">
        <v>6</v>
      </c>
      <c r="R16" s="1">
        <f t="shared" si="7"/>
        <v>0.12</v>
      </c>
      <c r="S16" s="1">
        <f t="shared" si="6"/>
        <v>0.12</v>
      </c>
      <c r="T16" s="4">
        <f t="shared" si="0"/>
        <v>6.6</v>
      </c>
      <c r="U16" s="10">
        <f t="shared" si="1"/>
        <v>32.021600000000007</v>
      </c>
      <c r="V16" s="1">
        <f>AA1*U16</f>
        <v>1601.0800000000004</v>
      </c>
      <c r="W16" s="1">
        <v>55</v>
      </c>
      <c r="X16" s="17"/>
    </row>
    <row r="17" spans="1:25" x14ac:dyDescent="0.3">
      <c r="A17" s="1" t="s">
        <v>22</v>
      </c>
      <c r="B17" s="1" t="s">
        <v>35</v>
      </c>
      <c r="C17" s="2">
        <v>4.5</v>
      </c>
      <c r="D17" s="1">
        <v>0.6</v>
      </c>
      <c r="E17" s="1">
        <v>1.1000000000000001</v>
      </c>
      <c r="F17" s="1">
        <v>1.18</v>
      </c>
      <c r="G17" s="4">
        <f t="shared" si="5"/>
        <v>3.5045999999999999</v>
      </c>
      <c r="H17" s="12"/>
      <c r="I17" s="3"/>
      <c r="J17" s="3"/>
      <c r="O17" s="1">
        <v>2</v>
      </c>
      <c r="P17" s="1">
        <v>9</v>
      </c>
      <c r="Q17" s="1" t="s">
        <v>6</v>
      </c>
      <c r="R17" s="1">
        <f t="shared" si="7"/>
        <v>0.22222222222222221</v>
      </c>
      <c r="S17" s="1">
        <f t="shared" si="6"/>
        <v>0.22222222222222221</v>
      </c>
      <c r="T17" s="4">
        <f t="shared" si="0"/>
        <v>12.222222222222221</v>
      </c>
      <c r="U17" s="10">
        <f t="shared" si="1"/>
        <v>15.726822222222221</v>
      </c>
      <c r="V17" s="1">
        <f>Y1*U17</f>
        <v>3302.6326666666664</v>
      </c>
      <c r="W17" s="1">
        <v>55</v>
      </c>
      <c r="X17" s="17"/>
    </row>
    <row r="18" spans="1:25" x14ac:dyDescent="0.3">
      <c r="A18" s="1" t="s">
        <v>30</v>
      </c>
      <c r="B18" s="1" t="s">
        <v>35</v>
      </c>
      <c r="G18" s="4">
        <f t="shared" si="2"/>
        <v>0</v>
      </c>
      <c r="H18" s="12">
        <v>2.9</v>
      </c>
      <c r="I18" s="3"/>
      <c r="J18" s="3"/>
      <c r="S18" s="1">
        <f t="shared" si="4"/>
        <v>0</v>
      </c>
      <c r="T18" s="4">
        <f t="shared" si="0"/>
        <v>0</v>
      </c>
      <c r="U18" s="10">
        <f t="shared" si="1"/>
        <v>2.9</v>
      </c>
      <c r="V18" s="1">
        <f>Y1*U18</f>
        <v>609</v>
      </c>
      <c r="W18" s="1">
        <v>55</v>
      </c>
      <c r="X18" s="17"/>
    </row>
    <row r="19" spans="1:25" x14ac:dyDescent="0.3">
      <c r="A19" s="1" t="s">
        <v>31</v>
      </c>
      <c r="B19" s="1" t="s">
        <v>35</v>
      </c>
      <c r="G19" s="4">
        <f t="shared" si="2"/>
        <v>0</v>
      </c>
      <c r="H19" s="12">
        <v>1.4</v>
      </c>
      <c r="I19" s="3"/>
      <c r="J19" s="3"/>
      <c r="S19" s="1">
        <f t="shared" si="4"/>
        <v>0</v>
      </c>
      <c r="T19" s="4">
        <f t="shared" si="0"/>
        <v>0</v>
      </c>
      <c r="U19" s="10">
        <f t="shared" si="1"/>
        <v>1.4</v>
      </c>
      <c r="V19" s="1">
        <f>Y1*U19</f>
        <v>294</v>
      </c>
      <c r="W19" s="1">
        <v>55</v>
      </c>
      <c r="X19" s="17"/>
    </row>
    <row r="20" spans="1:25" x14ac:dyDescent="0.3">
      <c r="A20" s="1" t="s">
        <v>61</v>
      </c>
      <c r="B20" s="1" t="s">
        <v>35</v>
      </c>
      <c r="C20" s="2">
        <v>0.06</v>
      </c>
      <c r="G20" s="4">
        <f t="shared" si="2"/>
        <v>0</v>
      </c>
      <c r="H20" s="12"/>
      <c r="I20" s="3">
        <f>C20*1*X4</f>
        <v>12</v>
      </c>
      <c r="J20" s="3"/>
      <c r="S20" s="1">
        <f t="shared" si="4"/>
        <v>0</v>
      </c>
      <c r="T20" s="4">
        <f t="shared" si="0"/>
        <v>0</v>
      </c>
      <c r="U20" s="10">
        <f t="shared" si="1"/>
        <v>12</v>
      </c>
      <c r="V20" s="1">
        <f>Y1*U20</f>
        <v>2520</v>
      </c>
      <c r="W20" s="1">
        <v>55</v>
      </c>
      <c r="X20" s="17"/>
    </row>
    <row r="21" spans="1:25" x14ac:dyDescent="0.3">
      <c r="A21" s="1" t="s">
        <v>32</v>
      </c>
      <c r="B21" s="1" t="s">
        <v>35</v>
      </c>
      <c r="C21" s="2">
        <v>0.06</v>
      </c>
      <c r="D21" s="1">
        <v>650</v>
      </c>
      <c r="E21" s="1">
        <v>1.1200000000000001</v>
      </c>
      <c r="F21" s="1">
        <v>1.18</v>
      </c>
      <c r="G21" s="4">
        <f t="shared" si="2"/>
        <v>51.542400000000001</v>
      </c>
      <c r="H21" s="12"/>
      <c r="I21" s="3"/>
      <c r="J21" s="3"/>
      <c r="S21" s="1">
        <f t="shared" si="4"/>
        <v>0</v>
      </c>
      <c r="T21" s="4">
        <f t="shared" si="0"/>
        <v>0</v>
      </c>
      <c r="U21" s="10">
        <f t="shared" si="1"/>
        <v>51.542400000000001</v>
      </c>
      <c r="V21" s="1">
        <f>Y1*U21</f>
        <v>10823.904</v>
      </c>
      <c r="W21" s="1">
        <v>55</v>
      </c>
      <c r="X21" s="17"/>
    </row>
    <row r="22" spans="1:25" x14ac:dyDescent="0.3">
      <c r="A22" s="1" t="s">
        <v>33</v>
      </c>
      <c r="B22" s="1" t="s">
        <v>35</v>
      </c>
      <c r="C22" s="2">
        <v>1</v>
      </c>
      <c r="G22" s="4"/>
      <c r="H22" s="12"/>
      <c r="I22" s="3"/>
      <c r="J22" s="3"/>
      <c r="O22" s="1">
        <v>3</v>
      </c>
      <c r="P22" s="1">
        <v>9</v>
      </c>
      <c r="Q22" s="1" t="s">
        <v>6</v>
      </c>
      <c r="R22" s="1">
        <f>O22/P22</f>
        <v>0.33333333333333331</v>
      </c>
      <c r="S22" s="1">
        <f t="shared" si="4"/>
        <v>0.33333333333333331</v>
      </c>
      <c r="T22" s="4">
        <f t="shared" si="0"/>
        <v>18.333333333333332</v>
      </c>
      <c r="U22" s="10">
        <f t="shared" si="1"/>
        <v>18.333333333333332</v>
      </c>
      <c r="V22" s="1">
        <f>Y1*U22</f>
        <v>3849.9999999999995</v>
      </c>
      <c r="W22" s="1">
        <v>55</v>
      </c>
      <c r="X22" s="17"/>
      <c r="Y22" s="1" t="s">
        <v>99</v>
      </c>
    </row>
    <row r="24" spans="1:25" x14ac:dyDescent="0.3">
      <c r="A24" s="1" t="s">
        <v>44</v>
      </c>
      <c r="B24" s="1" t="s">
        <v>24</v>
      </c>
      <c r="C24" s="2">
        <f>0.6*1</f>
        <v>0.6</v>
      </c>
      <c r="D24" s="1">
        <v>22.84</v>
      </c>
      <c r="E24" s="1">
        <v>1.1000000000000001</v>
      </c>
      <c r="F24" s="1">
        <v>1.18</v>
      </c>
      <c r="G24" s="4">
        <f t="shared" ref="G24:G35" si="18">C24*E24*F24*D24</f>
        <v>17.787792</v>
      </c>
      <c r="H24" s="12">
        <v>0.4</v>
      </c>
      <c r="I24" s="3"/>
      <c r="J24" s="3"/>
      <c r="K24" s="1">
        <v>2</v>
      </c>
      <c r="L24" s="1">
        <v>20</v>
      </c>
      <c r="M24" s="1" t="s">
        <v>11</v>
      </c>
      <c r="N24" s="1">
        <f>K24/L24</f>
        <v>0.1</v>
      </c>
      <c r="O24" s="1">
        <v>2</v>
      </c>
      <c r="P24" s="1">
        <v>3.8</v>
      </c>
      <c r="Q24" s="1" t="s">
        <v>11</v>
      </c>
      <c r="R24" s="1">
        <f t="shared" ref="R24:R35" si="19">O24/P24</f>
        <v>0.52631578947368418</v>
      </c>
      <c r="S24" s="1">
        <f t="shared" ref="S24:S34" si="20">R24+N24</f>
        <v>0.62631578947368416</v>
      </c>
      <c r="T24" s="4">
        <f t="shared" ref="T24:T34" si="21">S24*W24</f>
        <v>34.44736842105263</v>
      </c>
      <c r="U24" s="10">
        <f t="shared" ref="U24:U29" si="22">G24+H24+T24+I24</f>
        <v>52.635160421052632</v>
      </c>
      <c r="V24" s="1">
        <f>Y2*U24</f>
        <v>1431.6763634526314</v>
      </c>
      <c r="W24" s="1">
        <v>55</v>
      </c>
      <c r="Y24" s="16"/>
    </row>
    <row r="25" spans="1:25" x14ac:dyDescent="0.3">
      <c r="A25" s="1" t="s">
        <v>45</v>
      </c>
      <c r="B25" s="1" t="s">
        <v>24</v>
      </c>
      <c r="C25" s="2">
        <f>0.6*1</f>
        <v>0.6</v>
      </c>
      <c r="D25" s="1">
        <v>22.84</v>
      </c>
      <c r="E25" s="1">
        <v>1.1000000000000001</v>
      </c>
      <c r="F25" s="1">
        <v>1.18</v>
      </c>
      <c r="G25" s="4">
        <f t="shared" si="18"/>
        <v>17.787792</v>
      </c>
      <c r="H25" s="12">
        <v>0.4</v>
      </c>
      <c r="I25" s="3"/>
      <c r="J25" s="3"/>
      <c r="K25" s="1">
        <v>2</v>
      </c>
      <c r="L25" s="1">
        <v>40</v>
      </c>
      <c r="M25" s="1" t="s">
        <v>11</v>
      </c>
      <c r="N25" s="1">
        <f>K25/L25</f>
        <v>0.05</v>
      </c>
      <c r="O25" s="1">
        <v>2</v>
      </c>
      <c r="P25" s="1">
        <v>3.5</v>
      </c>
      <c r="Q25" s="1" t="s">
        <v>11</v>
      </c>
      <c r="R25" s="1">
        <f t="shared" si="19"/>
        <v>0.5714285714285714</v>
      </c>
      <c r="S25" s="1">
        <f t="shared" si="20"/>
        <v>0.62142857142857144</v>
      </c>
      <c r="T25" s="4">
        <f t="shared" si="21"/>
        <v>34.178571428571431</v>
      </c>
      <c r="U25" s="10">
        <f t="shared" si="22"/>
        <v>52.366363428571432</v>
      </c>
      <c r="V25" s="1">
        <f>Y2*U25</f>
        <v>1424.3650852571429</v>
      </c>
      <c r="W25" s="1">
        <v>55</v>
      </c>
      <c r="Y25" s="16"/>
    </row>
    <row r="26" spans="1:25" x14ac:dyDescent="0.3">
      <c r="A26" s="1" t="s">
        <v>20</v>
      </c>
      <c r="B26" s="1" t="s">
        <v>24</v>
      </c>
      <c r="C26" s="2">
        <v>0.15</v>
      </c>
      <c r="D26" s="1">
        <v>13</v>
      </c>
      <c r="E26" s="1">
        <v>1.1499999999999999</v>
      </c>
      <c r="F26" s="1">
        <v>1.25</v>
      </c>
      <c r="G26" s="4">
        <f t="shared" si="18"/>
        <v>2.8031249999999996</v>
      </c>
      <c r="H26" s="12">
        <v>0.1</v>
      </c>
      <c r="I26" s="3"/>
      <c r="J26" s="3"/>
      <c r="K26" s="1">
        <v>2</v>
      </c>
      <c r="L26" s="1">
        <v>36</v>
      </c>
      <c r="M26" s="1" t="s">
        <v>11</v>
      </c>
      <c r="N26" s="1">
        <f>K26/L26</f>
        <v>5.5555555555555552E-2</v>
      </c>
      <c r="O26" s="1">
        <v>2</v>
      </c>
      <c r="P26" s="1">
        <v>36</v>
      </c>
      <c r="Q26" s="1" t="s">
        <v>11</v>
      </c>
      <c r="R26" s="1">
        <f t="shared" si="19"/>
        <v>5.5555555555555552E-2</v>
      </c>
      <c r="S26" s="1">
        <f t="shared" si="20"/>
        <v>0.1111111111111111</v>
      </c>
      <c r="T26" s="4">
        <f t="shared" si="21"/>
        <v>6.1111111111111107</v>
      </c>
      <c r="U26" s="10">
        <f t="shared" si="22"/>
        <v>9.01423611111111</v>
      </c>
      <c r="V26" s="1">
        <f>Y3*U26</f>
        <v>139.72065972222219</v>
      </c>
      <c r="W26" s="1">
        <v>55</v>
      </c>
      <c r="Y26" s="16"/>
    </row>
    <row r="27" spans="1:25" x14ac:dyDescent="0.3">
      <c r="A27" s="1" t="s">
        <v>21</v>
      </c>
      <c r="B27" s="1" t="s">
        <v>24</v>
      </c>
      <c r="C27" s="2">
        <v>0.15</v>
      </c>
      <c r="D27" s="1">
        <v>16</v>
      </c>
      <c r="E27" s="1">
        <v>1.1499999999999999</v>
      </c>
      <c r="F27" s="1">
        <v>1.25</v>
      </c>
      <c r="G27" s="4">
        <f t="shared" si="18"/>
        <v>3.4499999999999997</v>
      </c>
      <c r="H27" s="12">
        <v>0.1</v>
      </c>
      <c r="I27" s="3"/>
      <c r="J27" s="3"/>
      <c r="K27" s="1">
        <v>2</v>
      </c>
      <c r="L27" s="1">
        <v>36</v>
      </c>
      <c r="M27" s="1" t="s">
        <v>11</v>
      </c>
      <c r="N27" s="1">
        <f t="shared" ref="N27" si="23">K27/L27</f>
        <v>5.5555555555555552E-2</v>
      </c>
      <c r="O27" s="1">
        <v>2</v>
      </c>
      <c r="P27" s="1">
        <v>36</v>
      </c>
      <c r="Q27" s="1" t="s">
        <v>11</v>
      </c>
      <c r="R27" s="1">
        <f t="shared" si="19"/>
        <v>5.5555555555555552E-2</v>
      </c>
      <c r="S27" s="1">
        <f t="shared" si="20"/>
        <v>0.1111111111111111</v>
      </c>
      <c r="T27" s="4">
        <f t="shared" si="21"/>
        <v>6.1111111111111107</v>
      </c>
      <c r="U27" s="10">
        <f t="shared" si="22"/>
        <v>9.6611111111111114</v>
      </c>
      <c r="V27" s="1">
        <f>Y3*U27</f>
        <v>149.74722222222223</v>
      </c>
      <c r="W27" s="1">
        <v>55</v>
      </c>
      <c r="Y27" s="16"/>
    </row>
    <row r="28" spans="1:25" x14ac:dyDescent="0.3">
      <c r="A28" s="1" t="s">
        <v>23</v>
      </c>
      <c r="B28" s="1" t="s">
        <v>24</v>
      </c>
      <c r="C28" s="2">
        <v>4</v>
      </c>
      <c r="D28" s="1">
        <v>0.55000000000000004</v>
      </c>
      <c r="E28" s="1">
        <v>1.1000000000000001</v>
      </c>
      <c r="F28" s="1">
        <v>1.18</v>
      </c>
      <c r="G28" s="4">
        <f t="shared" si="18"/>
        <v>2.8556000000000004</v>
      </c>
      <c r="H28" s="12"/>
      <c r="I28" s="3"/>
      <c r="J28" s="3"/>
      <c r="O28" s="1">
        <v>2</v>
      </c>
      <c r="P28" s="1">
        <v>15</v>
      </c>
      <c r="Q28" s="1" t="s">
        <v>6</v>
      </c>
      <c r="R28" s="1">
        <f t="shared" si="19"/>
        <v>0.13333333333333333</v>
      </c>
      <c r="S28" s="1">
        <f t="shared" si="20"/>
        <v>0.13333333333333333</v>
      </c>
      <c r="T28" s="4">
        <f t="shared" si="21"/>
        <v>7.333333333333333</v>
      </c>
      <c r="U28" s="10">
        <f t="shared" si="22"/>
        <v>10.188933333333333</v>
      </c>
      <c r="V28" s="1">
        <f>AA2*U28</f>
        <v>407.5573333333333</v>
      </c>
      <c r="W28" s="1">
        <v>55</v>
      </c>
      <c r="Y28" s="16" t="s">
        <v>101</v>
      </c>
    </row>
    <row r="29" spans="1:25" x14ac:dyDescent="0.3">
      <c r="A29" s="1" t="s">
        <v>36</v>
      </c>
      <c r="B29" s="1" t="s">
        <v>24</v>
      </c>
      <c r="C29" s="2">
        <v>0.3</v>
      </c>
      <c r="D29" s="1">
        <v>8</v>
      </c>
      <c r="E29" s="1">
        <v>1.1200000000000001</v>
      </c>
      <c r="F29" s="1">
        <v>1.18</v>
      </c>
      <c r="G29" s="4">
        <f t="shared" si="18"/>
        <v>3.17184</v>
      </c>
      <c r="H29" s="12">
        <v>0.1</v>
      </c>
      <c r="I29" s="3"/>
      <c r="J29" s="3"/>
      <c r="K29" s="1">
        <v>1</v>
      </c>
      <c r="L29" s="1">
        <v>30</v>
      </c>
      <c r="M29" s="1" t="s">
        <v>27</v>
      </c>
      <c r="N29" s="1">
        <f t="shared" ref="N29" si="24">K29/L29</f>
        <v>3.3333333333333333E-2</v>
      </c>
      <c r="O29" s="1">
        <v>2</v>
      </c>
      <c r="P29" s="1">
        <v>30</v>
      </c>
      <c r="Q29" s="1" t="s">
        <v>11</v>
      </c>
      <c r="R29" s="1">
        <f t="shared" si="19"/>
        <v>6.6666666666666666E-2</v>
      </c>
      <c r="S29" s="1">
        <f t="shared" si="20"/>
        <v>0.1</v>
      </c>
      <c r="T29" s="4">
        <f t="shared" si="21"/>
        <v>5.5</v>
      </c>
      <c r="U29" s="10">
        <f t="shared" si="22"/>
        <v>8.771840000000001</v>
      </c>
      <c r="V29" s="1">
        <f>AA3*U29</f>
        <v>175.43680000000001</v>
      </c>
      <c r="W29" s="1">
        <v>55</v>
      </c>
      <c r="Y29" s="16"/>
    </row>
    <row r="30" spans="1:25" x14ac:dyDescent="0.3">
      <c r="A30" s="1" t="s">
        <v>118</v>
      </c>
      <c r="B30" s="1" t="s">
        <v>24</v>
      </c>
      <c r="C30" s="2">
        <v>1</v>
      </c>
      <c r="D30" s="1">
        <f>2*0.3*23*1.15+95*0.16*0.25*1.05</f>
        <v>19.86</v>
      </c>
      <c r="E30" s="1">
        <v>1.1200000000000001</v>
      </c>
      <c r="F30" s="1">
        <v>1.18</v>
      </c>
      <c r="G30" s="4">
        <f t="shared" ref="G30" si="25">C30*E30*F30*D30</f>
        <v>26.246976</v>
      </c>
      <c r="H30" s="12">
        <v>0.1</v>
      </c>
      <c r="I30" s="3"/>
      <c r="J30" s="3"/>
      <c r="K30" s="1">
        <v>1</v>
      </c>
      <c r="L30" s="1">
        <v>30</v>
      </c>
      <c r="M30" s="1" t="s">
        <v>27</v>
      </c>
      <c r="N30" s="1">
        <f t="shared" ref="N30" si="26">K30/L30</f>
        <v>3.3333333333333333E-2</v>
      </c>
      <c r="O30" s="1">
        <v>2</v>
      </c>
      <c r="P30" s="1">
        <v>15</v>
      </c>
      <c r="Q30" s="1" t="s">
        <v>11</v>
      </c>
      <c r="R30" s="1">
        <f t="shared" ref="R30" si="27">O30/P30</f>
        <v>0.13333333333333333</v>
      </c>
      <c r="S30" s="1">
        <f t="shared" ref="S30" si="28">R30+N30</f>
        <v>0.16666666666666666</v>
      </c>
      <c r="T30" s="4">
        <f t="shared" ref="T30" si="29">S30*W30</f>
        <v>9.3333333333333321</v>
      </c>
      <c r="U30" s="10">
        <f t="shared" ref="U30" si="30">G30+H30+T30+I30</f>
        <v>35.680309333333334</v>
      </c>
      <c r="V30" s="1">
        <f>AA4*U30</f>
        <v>0</v>
      </c>
      <c r="W30" s="1">
        <v>56</v>
      </c>
      <c r="Y30" s="16"/>
    </row>
    <row r="31" spans="1:25" x14ac:dyDescent="0.3">
      <c r="A31" s="1" t="s">
        <v>56</v>
      </c>
      <c r="B31" s="1" t="s">
        <v>24</v>
      </c>
      <c r="C31" s="2">
        <v>1</v>
      </c>
      <c r="D31" s="1">
        <f>17*1.05</f>
        <v>17.850000000000001</v>
      </c>
      <c r="E31" s="1">
        <v>1.1000000000000001</v>
      </c>
      <c r="F31" s="1">
        <v>1.18</v>
      </c>
      <c r="G31" s="4">
        <f t="shared" si="18"/>
        <v>23.169300000000003</v>
      </c>
      <c r="H31" s="12">
        <v>0.2</v>
      </c>
      <c r="I31" s="3"/>
      <c r="J31" s="3"/>
      <c r="K31" s="1">
        <v>1</v>
      </c>
      <c r="L31" s="1">
        <v>3</v>
      </c>
      <c r="M31" s="1" t="s">
        <v>11</v>
      </c>
      <c r="N31" s="1">
        <f>K31/L31</f>
        <v>0.33333333333333331</v>
      </c>
      <c r="O31" s="1">
        <v>2</v>
      </c>
      <c r="P31" s="1">
        <v>40</v>
      </c>
      <c r="Q31" s="1" t="s">
        <v>11</v>
      </c>
      <c r="R31" s="1">
        <f t="shared" si="19"/>
        <v>0.05</v>
      </c>
      <c r="S31" s="1">
        <f t="shared" si="20"/>
        <v>0.3833333333333333</v>
      </c>
      <c r="T31" s="4">
        <f t="shared" si="21"/>
        <v>21.083333333333332</v>
      </c>
      <c r="U31" s="10">
        <f>G31+H31+T31+I31+U26</f>
        <v>53.466869444444448</v>
      </c>
      <c r="V31" s="1">
        <f>Y3*U31</f>
        <v>828.73647638888895</v>
      </c>
      <c r="W31" s="1">
        <v>55</v>
      </c>
      <c r="Y31" s="16"/>
    </row>
    <row r="32" spans="1:25" x14ac:dyDescent="0.3">
      <c r="A32" s="1" t="s">
        <v>57</v>
      </c>
      <c r="B32" s="1" t="s">
        <v>24</v>
      </c>
      <c r="C32" s="2">
        <v>1</v>
      </c>
      <c r="D32" s="1">
        <f>17*1.05</f>
        <v>17.850000000000001</v>
      </c>
      <c r="E32" s="1">
        <v>1.1000000000000001</v>
      </c>
      <c r="F32" s="1">
        <v>1.18</v>
      </c>
      <c r="G32" s="4">
        <f t="shared" si="18"/>
        <v>23.169300000000003</v>
      </c>
      <c r="H32" s="12">
        <v>0.2</v>
      </c>
      <c r="I32" s="3"/>
      <c r="J32" s="3"/>
      <c r="K32" s="1">
        <v>1</v>
      </c>
      <c r="L32" s="1">
        <v>2</v>
      </c>
      <c r="M32" s="1" t="s">
        <v>11</v>
      </c>
      <c r="N32" s="1">
        <f>K32/L32</f>
        <v>0.5</v>
      </c>
      <c r="O32" s="1">
        <v>2</v>
      </c>
      <c r="P32" s="1">
        <v>40</v>
      </c>
      <c r="Q32" s="1" t="s">
        <v>11</v>
      </c>
      <c r="R32" s="1">
        <f t="shared" si="19"/>
        <v>0.05</v>
      </c>
      <c r="S32" s="1">
        <f t="shared" si="20"/>
        <v>0.55000000000000004</v>
      </c>
      <c r="T32" s="4">
        <f t="shared" si="21"/>
        <v>30.250000000000004</v>
      </c>
      <c r="U32" s="10">
        <f>G32+H32+T32+I32+2*U26</f>
        <v>71.64777222222223</v>
      </c>
      <c r="V32" s="1">
        <f>Y3*U32</f>
        <v>1110.5404694444446</v>
      </c>
      <c r="W32" s="1">
        <v>55</v>
      </c>
      <c r="Y32" s="16"/>
    </row>
    <row r="33" spans="1:25" x14ac:dyDescent="0.3">
      <c r="A33" s="1" t="s">
        <v>65</v>
      </c>
      <c r="B33" s="1" t="s">
        <v>24</v>
      </c>
      <c r="C33" s="2">
        <v>0.16</v>
      </c>
      <c r="D33" s="1">
        <v>13</v>
      </c>
      <c r="E33" s="1">
        <v>1.1000000000000001</v>
      </c>
      <c r="F33" s="1">
        <v>1.18</v>
      </c>
      <c r="G33" s="4">
        <f t="shared" si="18"/>
        <v>2.69984</v>
      </c>
      <c r="H33" s="12">
        <v>0.4</v>
      </c>
      <c r="I33" s="3"/>
      <c r="J33" s="3"/>
      <c r="K33" s="1">
        <v>2</v>
      </c>
      <c r="L33" s="1">
        <v>25</v>
      </c>
      <c r="M33" s="1" t="s">
        <v>11</v>
      </c>
      <c r="N33" s="1">
        <f>K33/L33</f>
        <v>0.08</v>
      </c>
      <c r="O33" s="1">
        <v>2</v>
      </c>
      <c r="P33" s="1">
        <v>6</v>
      </c>
      <c r="Q33" s="1" t="s">
        <v>11</v>
      </c>
      <c r="R33" s="1">
        <f t="shared" si="19"/>
        <v>0.33333333333333331</v>
      </c>
      <c r="S33" s="1">
        <f t="shared" si="20"/>
        <v>0.41333333333333333</v>
      </c>
      <c r="T33" s="4">
        <f t="shared" si="21"/>
        <v>22.733333333333334</v>
      </c>
      <c r="U33" s="10">
        <f>G33+H33+T33+I33</f>
        <v>25.833173333333335</v>
      </c>
      <c r="V33" s="1">
        <f>Y3*U33</f>
        <v>400.41418666666669</v>
      </c>
      <c r="W33" s="1">
        <v>55</v>
      </c>
      <c r="Y33" s="16"/>
    </row>
    <row r="34" spans="1:25" x14ac:dyDescent="0.3">
      <c r="A34" s="1" t="s">
        <v>66</v>
      </c>
      <c r="B34" s="1" t="s">
        <v>24</v>
      </c>
      <c r="C34" s="2">
        <v>1</v>
      </c>
      <c r="D34" s="1">
        <v>4</v>
      </c>
      <c r="E34" s="1">
        <v>1.1000000000000001</v>
      </c>
      <c r="F34" s="1">
        <v>1.18</v>
      </c>
      <c r="G34" s="4">
        <f t="shared" si="18"/>
        <v>5.1920000000000002</v>
      </c>
      <c r="H34" s="12"/>
      <c r="I34" s="3"/>
      <c r="J34" s="3"/>
      <c r="O34" s="1">
        <v>2</v>
      </c>
      <c r="P34" s="1">
        <v>3</v>
      </c>
      <c r="Q34" s="1" t="s">
        <v>11</v>
      </c>
      <c r="R34" s="1">
        <f t="shared" si="19"/>
        <v>0.66666666666666663</v>
      </c>
      <c r="S34" s="1">
        <f t="shared" si="20"/>
        <v>0.66666666666666663</v>
      </c>
      <c r="T34" s="4">
        <f t="shared" si="21"/>
        <v>36.666666666666664</v>
      </c>
      <c r="U34" s="10">
        <f>G34+H34+T34+I34</f>
        <v>41.858666666666664</v>
      </c>
      <c r="V34" s="1">
        <f>AA2*U34</f>
        <v>1674.3466666666666</v>
      </c>
      <c r="W34" s="1">
        <v>55</v>
      </c>
      <c r="Y34" s="16"/>
    </row>
    <row r="35" spans="1:25" x14ac:dyDescent="0.3">
      <c r="A35" s="1" t="s">
        <v>108</v>
      </c>
      <c r="B35" s="1" t="s">
        <v>109</v>
      </c>
      <c r="C35" s="2">
        <v>1</v>
      </c>
      <c r="D35" s="1">
        <v>40</v>
      </c>
      <c r="E35" s="1">
        <v>1</v>
      </c>
      <c r="F35" s="1">
        <v>1.1000000000000001</v>
      </c>
      <c r="G35" s="4">
        <f t="shared" si="18"/>
        <v>44</v>
      </c>
      <c r="H35" s="12">
        <v>10</v>
      </c>
      <c r="I35" s="3"/>
      <c r="J35" s="3"/>
      <c r="K35" s="1">
        <v>1</v>
      </c>
      <c r="L35" s="1">
        <v>4</v>
      </c>
      <c r="M35" s="1" t="s">
        <v>27</v>
      </c>
      <c r="N35" s="1">
        <f t="shared" ref="N35" si="31">K35/L35</f>
        <v>0.25</v>
      </c>
      <c r="O35" s="1">
        <v>2</v>
      </c>
      <c r="P35" s="1">
        <v>2</v>
      </c>
      <c r="Q35" s="1" t="s">
        <v>27</v>
      </c>
      <c r="R35" s="1">
        <f t="shared" si="19"/>
        <v>1</v>
      </c>
      <c r="S35" s="1">
        <f>R35+N35</f>
        <v>1.25</v>
      </c>
      <c r="T35" s="4">
        <f t="shared" ref="T35" si="32">S35*W35</f>
        <v>68.75</v>
      </c>
      <c r="U35" s="10">
        <f>G35+H35+T35+I35</f>
        <v>122.75</v>
      </c>
      <c r="V35" s="1">
        <f>AA3*U35</f>
        <v>2455</v>
      </c>
      <c r="W35" s="1">
        <v>55</v>
      </c>
    </row>
    <row r="36" spans="1:25" x14ac:dyDescent="0.3">
      <c r="A36" s="1" t="s">
        <v>117</v>
      </c>
      <c r="B36" s="1" t="s">
        <v>24</v>
      </c>
      <c r="C36" s="2">
        <v>0.16</v>
      </c>
      <c r="D36" s="1">
        <f>300*0.025*0.16*1.2</f>
        <v>1.44</v>
      </c>
      <c r="E36" s="1">
        <v>1.3</v>
      </c>
      <c r="F36" s="1">
        <v>1.18</v>
      </c>
      <c r="G36" s="4">
        <f t="shared" ref="G36" si="33">C36*E36*F36*D36</f>
        <v>0.35343360000000001</v>
      </c>
      <c r="H36" s="12">
        <v>0.4</v>
      </c>
      <c r="I36" s="3"/>
      <c r="J36" s="3"/>
      <c r="O36" s="1">
        <v>2</v>
      </c>
      <c r="P36" s="1">
        <v>16</v>
      </c>
      <c r="Q36" s="1" t="s">
        <v>11</v>
      </c>
      <c r="R36" s="1">
        <f>O36/P36</f>
        <v>0.125</v>
      </c>
      <c r="S36" s="1">
        <f t="shared" ref="S36" si="34">R36+N36</f>
        <v>0.125</v>
      </c>
      <c r="T36" s="4">
        <f>S36*W36</f>
        <v>6.875</v>
      </c>
      <c r="U36" s="10">
        <f>G36+H36+T36+I36</f>
        <v>7.6284336000000001</v>
      </c>
      <c r="V36" s="1">
        <f>Y6*U36</f>
        <v>0</v>
      </c>
      <c r="W36" s="1">
        <v>55</v>
      </c>
    </row>
  </sheetData>
  <mergeCells count="3">
    <mergeCell ref="K2:M2"/>
    <mergeCell ref="O2:Q2"/>
    <mergeCell ref="P3:Q3"/>
  </mergeCells>
  <phoneticPr fontId="2" type="noConversion"/>
  <pageMargins left="0.31496062992125984" right="0.19685039370078741" top="0.19685039370078741" bottom="0.19685039370078741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44"/>
  <sheetViews>
    <sheetView topLeftCell="A8" zoomScale="115" zoomScaleNormal="115" workbookViewId="0">
      <selection activeCell="A9" sqref="A9:XFD9"/>
    </sheetView>
  </sheetViews>
  <sheetFormatPr baseColWidth="10" defaultColWidth="11.42578125" defaultRowHeight="13.5" x14ac:dyDescent="0.3"/>
  <cols>
    <col min="1" max="1" width="16.140625" style="1" customWidth="1"/>
    <col min="2" max="2" width="2.85546875" style="1" customWidth="1"/>
    <col min="3" max="3" width="7" style="2" customWidth="1"/>
    <col min="4" max="4" width="9.140625" style="1" customWidth="1"/>
    <col min="5" max="5" width="6.85546875" style="1" customWidth="1"/>
    <col min="6" max="6" width="7.85546875" style="1" customWidth="1"/>
    <col min="7" max="7" width="8.5703125" style="1" customWidth="1"/>
    <col min="8" max="8" width="9" style="1" customWidth="1"/>
    <col min="9" max="10" width="7.5703125" style="1" customWidth="1"/>
    <col min="11" max="11" width="5.140625" style="1" bestFit="1" customWidth="1"/>
    <col min="12" max="12" width="4.85546875" style="1" bestFit="1" customWidth="1"/>
    <col min="13" max="13" width="5.85546875" style="1" bestFit="1" customWidth="1"/>
    <col min="14" max="15" width="4.42578125" style="1" bestFit="1" customWidth="1"/>
    <col min="16" max="16" width="5.5703125" style="1" bestFit="1" customWidth="1"/>
    <col min="17" max="17" width="5" style="1" bestFit="1" customWidth="1"/>
    <col min="18" max="18" width="4" style="1" bestFit="1" customWidth="1"/>
    <col min="19" max="19" width="7.42578125" style="1" customWidth="1"/>
    <col min="20" max="20" width="7.5703125" style="1" bestFit="1" customWidth="1"/>
    <col min="21" max="21" width="7" style="1" bestFit="1" customWidth="1"/>
    <col min="22" max="22" width="11.42578125" style="1"/>
    <col min="23" max="23" width="4.85546875" style="1" bestFit="1" customWidth="1"/>
    <col min="24" max="16384" width="11.42578125" style="1"/>
  </cols>
  <sheetData>
    <row r="1" spans="1:28" x14ac:dyDescent="0.3">
      <c r="G1" s="4"/>
      <c r="H1" s="12"/>
      <c r="I1" s="3"/>
      <c r="J1" s="3"/>
      <c r="T1" s="4"/>
      <c r="U1" s="10"/>
      <c r="W1" s="1" t="s">
        <v>3</v>
      </c>
      <c r="X1" s="1" t="s">
        <v>46</v>
      </c>
      <c r="Y1" s="1">
        <v>160</v>
      </c>
      <c r="Z1" s="1" t="s">
        <v>47</v>
      </c>
      <c r="AA1" s="1">
        <v>50</v>
      </c>
    </row>
    <row r="2" spans="1:28" x14ac:dyDescent="0.3">
      <c r="C2" s="2" t="s">
        <v>0</v>
      </c>
      <c r="D2" s="1" t="s">
        <v>5</v>
      </c>
      <c r="E2" s="1" t="s">
        <v>37</v>
      </c>
      <c r="F2" s="1" t="s">
        <v>1</v>
      </c>
      <c r="G2" s="9" t="s">
        <v>38</v>
      </c>
      <c r="H2" s="13" t="s">
        <v>2</v>
      </c>
      <c r="I2" s="6" t="s">
        <v>19</v>
      </c>
      <c r="J2" s="6"/>
      <c r="K2" s="142" t="s">
        <v>10</v>
      </c>
      <c r="L2" s="142"/>
      <c r="M2" s="142"/>
      <c r="N2" s="7"/>
      <c r="O2" s="142" t="s">
        <v>9</v>
      </c>
      <c r="P2" s="142"/>
      <c r="Q2" s="142"/>
      <c r="T2" s="9" t="s">
        <v>43</v>
      </c>
      <c r="U2" s="11" t="s">
        <v>42</v>
      </c>
      <c r="V2" s="15" t="s">
        <v>49</v>
      </c>
      <c r="X2" s="1" t="s">
        <v>54</v>
      </c>
      <c r="Y2" s="1">
        <f>13.6*2</f>
        <v>27.2</v>
      </c>
    </row>
    <row r="3" spans="1:28" x14ac:dyDescent="0.3">
      <c r="G3" s="4"/>
      <c r="H3" s="12"/>
      <c r="I3" s="3"/>
      <c r="J3" s="3"/>
      <c r="K3" s="5"/>
      <c r="L3" s="5"/>
      <c r="M3" s="5"/>
      <c r="O3" s="8" t="s">
        <v>39</v>
      </c>
      <c r="P3" s="143" t="s">
        <v>40</v>
      </c>
      <c r="Q3" s="143"/>
      <c r="T3" s="4"/>
      <c r="U3" s="14" t="s">
        <v>41</v>
      </c>
      <c r="X3" s="1" t="s">
        <v>55</v>
      </c>
      <c r="Y3" s="1">
        <v>15.5</v>
      </c>
    </row>
    <row r="4" spans="1:28" x14ac:dyDescent="0.3">
      <c r="A4" s="1" t="s">
        <v>8</v>
      </c>
      <c r="B4" s="1" t="s">
        <v>35</v>
      </c>
      <c r="C4" s="2">
        <v>1</v>
      </c>
      <c r="D4" s="1">
        <v>5</v>
      </c>
      <c r="E4" s="1">
        <v>1.3</v>
      </c>
      <c r="F4" s="1">
        <v>1.18</v>
      </c>
      <c r="G4" s="4">
        <f>C4*E4*F4*D4</f>
        <v>7.67</v>
      </c>
      <c r="H4" s="12">
        <v>0.1</v>
      </c>
      <c r="I4" s="3"/>
      <c r="J4" s="3"/>
      <c r="O4" s="1">
        <v>3</v>
      </c>
      <c r="P4" s="1">
        <v>35</v>
      </c>
      <c r="Q4" s="1" t="s">
        <v>6</v>
      </c>
      <c r="R4" s="1">
        <f>O4/P4</f>
        <v>8.5714285714285715E-2</v>
      </c>
      <c r="S4" s="1">
        <f>R4+N4</f>
        <v>8.5714285714285715E-2</v>
      </c>
      <c r="T4" s="4">
        <f t="shared" ref="T4:T23" si="0">S4*W4</f>
        <v>4.9714285714285715</v>
      </c>
      <c r="U4" s="10">
        <f t="shared" ref="U4:U24" si="1">G4+H4+T4+I4</f>
        <v>12.741428571428571</v>
      </c>
      <c r="V4" s="1">
        <f>Y1*U4</f>
        <v>2038.6285714285714</v>
      </c>
      <c r="W4" s="1">
        <v>58</v>
      </c>
    </row>
    <row r="5" spans="1:28" x14ac:dyDescent="0.3">
      <c r="A5" s="1" t="s">
        <v>26</v>
      </c>
      <c r="B5" s="1" t="s">
        <v>35</v>
      </c>
      <c r="C5" s="2">
        <f>0.025</f>
        <v>2.5000000000000001E-2</v>
      </c>
      <c r="D5" s="1">
        <v>290</v>
      </c>
      <c r="E5" s="1">
        <v>1.1200000000000001</v>
      </c>
      <c r="F5" s="1">
        <v>1.18</v>
      </c>
      <c r="G5" s="4">
        <f t="shared" ref="G5:G18" si="2">C5*E5*F5*D5</f>
        <v>9.5815999999999999</v>
      </c>
      <c r="H5" s="12">
        <v>0.15</v>
      </c>
      <c r="I5" s="3"/>
      <c r="J5" s="3"/>
      <c r="O5" s="1">
        <v>3</v>
      </c>
      <c r="P5" s="1">
        <v>16</v>
      </c>
      <c r="Q5" s="1" t="s">
        <v>6</v>
      </c>
      <c r="R5" s="1">
        <f t="shared" ref="R5:R6" si="3">O5/P5</f>
        <v>0.1875</v>
      </c>
      <c r="S5" s="1">
        <f>R5+N5</f>
        <v>0.1875</v>
      </c>
      <c r="T5" s="4">
        <f t="shared" si="0"/>
        <v>10.875</v>
      </c>
      <c r="U5" s="10">
        <f t="shared" si="1"/>
        <v>20.6066</v>
      </c>
      <c r="V5" s="1">
        <f>Y1*U5</f>
        <v>3297.056</v>
      </c>
      <c r="W5" s="1">
        <v>58</v>
      </c>
    </row>
    <row r="6" spans="1:28" x14ac:dyDescent="0.3">
      <c r="A6" s="1" t="s">
        <v>7</v>
      </c>
      <c r="B6" s="1" t="s">
        <v>50</v>
      </c>
      <c r="C6" s="2">
        <f>1/0.3*0.05*0.04</f>
        <v>6.666666666666668E-3</v>
      </c>
      <c r="D6" s="1">
        <v>330</v>
      </c>
      <c r="E6" s="1">
        <v>1.1499999999999999</v>
      </c>
      <c r="F6" s="1">
        <v>1.18</v>
      </c>
      <c r="G6" s="4">
        <f t="shared" si="2"/>
        <v>2.9854000000000003</v>
      </c>
      <c r="H6" s="12">
        <v>0.75</v>
      </c>
      <c r="I6" s="3"/>
      <c r="J6" s="3"/>
      <c r="O6" s="1">
        <v>3</v>
      </c>
      <c r="P6" s="1">
        <v>20</v>
      </c>
      <c r="Q6" s="1" t="s">
        <v>6</v>
      </c>
      <c r="R6" s="1">
        <f t="shared" si="3"/>
        <v>0.15</v>
      </c>
      <c r="S6" s="1">
        <f t="shared" ref="S6:S24" si="4">R6+N6</f>
        <v>0.15</v>
      </c>
      <c r="T6" s="4">
        <f t="shared" si="0"/>
        <v>8.6999999999999993</v>
      </c>
      <c r="U6" s="10">
        <f t="shared" si="1"/>
        <v>12.4354</v>
      </c>
      <c r="V6" s="1">
        <f>Y1*U6</f>
        <v>1989.664</v>
      </c>
      <c r="W6" s="1">
        <v>58</v>
      </c>
    </row>
    <row r="7" spans="1:28" x14ac:dyDescent="0.3">
      <c r="A7" s="1" t="s">
        <v>115</v>
      </c>
      <c r="B7" s="1" t="s">
        <v>35</v>
      </c>
      <c r="C7" s="2">
        <f>1/0.6*0.08*0.06</f>
        <v>8.0000000000000002E-3</v>
      </c>
      <c r="D7" s="1">
        <v>330</v>
      </c>
      <c r="E7" s="1">
        <v>1.1499999999999999</v>
      </c>
      <c r="F7" s="1">
        <v>1.18</v>
      </c>
      <c r="G7" s="4">
        <f t="shared" ref="G7:G17" si="5">C7*E7*F7*D7</f>
        <v>3.5824799999999999</v>
      </c>
      <c r="H7" s="12">
        <v>0.8</v>
      </c>
      <c r="I7" s="3"/>
      <c r="J7" s="3"/>
      <c r="O7" s="1">
        <v>3</v>
      </c>
      <c r="P7" s="1">
        <v>20</v>
      </c>
      <c r="Q7" s="1" t="s">
        <v>6</v>
      </c>
      <c r="R7" s="1">
        <f>O7/P7</f>
        <v>0.15</v>
      </c>
      <c r="S7" s="1">
        <f t="shared" ref="S7:S17" si="6">R7+N7</f>
        <v>0.15</v>
      </c>
      <c r="T7" s="4">
        <f t="shared" si="0"/>
        <v>8.6999999999999993</v>
      </c>
      <c r="U7" s="10">
        <f t="shared" si="1"/>
        <v>13.08248</v>
      </c>
      <c r="V7" s="1">
        <f>Y1*U7</f>
        <v>2093.1968000000002</v>
      </c>
      <c r="W7" s="1">
        <v>58</v>
      </c>
    </row>
    <row r="8" spans="1:28" x14ac:dyDescent="0.3">
      <c r="A8" s="1" t="s">
        <v>16</v>
      </c>
      <c r="B8" s="1" t="s">
        <v>35</v>
      </c>
      <c r="C8" s="2">
        <v>1.65</v>
      </c>
      <c r="D8" s="1">
        <v>0.7</v>
      </c>
      <c r="E8" s="1">
        <v>1.1000000000000001</v>
      </c>
      <c r="F8" s="1">
        <v>1.18</v>
      </c>
      <c r="G8" s="4">
        <f t="shared" si="5"/>
        <v>1.4991899999999998</v>
      </c>
      <c r="H8" s="12"/>
      <c r="I8" s="3"/>
      <c r="J8" s="3"/>
      <c r="O8" s="1">
        <v>3</v>
      </c>
      <c r="P8" s="1">
        <v>40</v>
      </c>
      <c r="Q8" s="1" t="s">
        <v>24</v>
      </c>
      <c r="R8" s="1">
        <f>O8/P8</f>
        <v>7.4999999999999997E-2</v>
      </c>
      <c r="S8" s="1">
        <f t="shared" si="6"/>
        <v>7.4999999999999997E-2</v>
      </c>
      <c r="T8" s="4">
        <f t="shared" si="0"/>
        <v>3.75</v>
      </c>
      <c r="U8" s="10">
        <f t="shared" si="1"/>
        <v>5.2491899999999996</v>
      </c>
      <c r="V8" s="1">
        <f>Y1*U8</f>
        <v>839.8703999999999</v>
      </c>
      <c r="W8" s="1">
        <v>50</v>
      </c>
    </row>
    <row r="9" spans="1:28" x14ac:dyDescent="0.3">
      <c r="A9" s="1" t="s">
        <v>18</v>
      </c>
      <c r="B9" s="1" t="s">
        <v>35</v>
      </c>
      <c r="C9" s="2">
        <v>1</v>
      </c>
      <c r="D9" s="1">
        <v>7</v>
      </c>
      <c r="E9" s="1">
        <v>1.5</v>
      </c>
      <c r="F9" s="1">
        <v>1.18</v>
      </c>
      <c r="G9" s="4">
        <f t="shared" si="5"/>
        <v>12.39</v>
      </c>
      <c r="H9" s="12">
        <v>0.05</v>
      </c>
      <c r="I9" s="3">
        <v>0.9</v>
      </c>
      <c r="J9" s="3"/>
      <c r="O9" s="1">
        <v>3</v>
      </c>
      <c r="P9" s="1">
        <v>30</v>
      </c>
      <c r="Q9" s="1" t="s">
        <v>6</v>
      </c>
      <c r="R9" s="1">
        <v>0.12</v>
      </c>
      <c r="S9" s="1">
        <f t="shared" si="6"/>
        <v>0.12</v>
      </c>
      <c r="T9" s="4">
        <f t="shared" si="0"/>
        <v>6.24</v>
      </c>
      <c r="U9" s="10">
        <f t="shared" si="1"/>
        <v>19.579999999999998</v>
      </c>
      <c r="V9" s="1">
        <f>Y1*U9</f>
        <v>3132.7999999999997</v>
      </c>
      <c r="W9" s="1">
        <v>52</v>
      </c>
    </row>
    <row r="10" spans="1:28" x14ac:dyDescent="0.3">
      <c r="G10" s="4"/>
      <c r="H10" s="12"/>
      <c r="I10" s="3"/>
      <c r="J10" s="3"/>
      <c r="T10" s="4"/>
      <c r="U10" s="10"/>
      <c r="W10" s="1">
        <v>52</v>
      </c>
    </row>
    <row r="11" spans="1:28" x14ac:dyDescent="0.3">
      <c r="A11" s="1" t="s">
        <v>15</v>
      </c>
      <c r="B11" s="1" t="s">
        <v>35</v>
      </c>
      <c r="C11" s="2">
        <v>1</v>
      </c>
      <c r="D11" s="1">
        <v>16</v>
      </c>
      <c r="E11" s="1">
        <v>1.1499999999999999</v>
      </c>
      <c r="F11" s="1">
        <v>1.18</v>
      </c>
      <c r="G11" s="4">
        <f t="shared" si="5"/>
        <v>21.711999999999996</v>
      </c>
      <c r="H11" s="12">
        <v>0.2</v>
      </c>
      <c r="I11" s="3"/>
      <c r="J11" s="3"/>
      <c r="O11" s="1">
        <v>3</v>
      </c>
      <c r="P11" s="1">
        <v>15</v>
      </c>
      <c r="Q11" s="1" t="s">
        <v>6</v>
      </c>
      <c r="R11" s="1">
        <f t="shared" ref="R11:R17" si="7">O11/P11</f>
        <v>0.2</v>
      </c>
      <c r="S11" s="1">
        <f t="shared" si="6"/>
        <v>0.2</v>
      </c>
      <c r="T11" s="4">
        <f t="shared" si="0"/>
        <v>10.4</v>
      </c>
      <c r="U11" s="10">
        <f t="shared" si="1"/>
        <v>32.311999999999998</v>
      </c>
      <c r="V11" s="1">
        <f>Y1*U11</f>
        <v>5169.92</v>
      </c>
      <c r="W11" s="1">
        <v>52</v>
      </c>
    </row>
    <row r="12" spans="1:28" hidden="1" x14ac:dyDescent="0.3">
      <c r="A12" s="1" t="s">
        <v>12</v>
      </c>
      <c r="B12" s="1" t="s">
        <v>51</v>
      </c>
      <c r="C12" s="2">
        <v>1</v>
      </c>
      <c r="D12" s="1">
        <v>12</v>
      </c>
      <c r="E12" s="1">
        <v>1.1200000000000001</v>
      </c>
      <c r="F12" s="1">
        <v>1.18</v>
      </c>
      <c r="G12" s="4">
        <f t="shared" si="5"/>
        <v>15.859200000000001</v>
      </c>
      <c r="H12" s="12">
        <v>0.15</v>
      </c>
      <c r="I12" s="3"/>
      <c r="J12" s="3"/>
      <c r="O12" s="1">
        <v>3</v>
      </c>
      <c r="P12" s="1">
        <v>20</v>
      </c>
      <c r="Q12" s="1" t="s">
        <v>6</v>
      </c>
      <c r="R12" s="1">
        <f t="shared" si="7"/>
        <v>0.15</v>
      </c>
      <c r="S12" s="1">
        <f t="shared" si="6"/>
        <v>0.15</v>
      </c>
      <c r="T12" s="4">
        <f t="shared" si="0"/>
        <v>7.8</v>
      </c>
      <c r="U12" s="10">
        <f t="shared" si="1"/>
        <v>23.809200000000001</v>
      </c>
      <c r="V12" s="1">
        <f>Y1*U12</f>
        <v>3809.4720000000002</v>
      </c>
      <c r="W12" s="1">
        <v>52</v>
      </c>
    </row>
    <row r="13" spans="1:28" hidden="1" x14ac:dyDescent="0.3">
      <c r="A13" s="1" t="s">
        <v>13</v>
      </c>
      <c r="B13" s="1" t="s">
        <v>52</v>
      </c>
      <c r="C13" s="2">
        <v>1</v>
      </c>
      <c r="D13" s="1">
        <v>5.46</v>
      </c>
      <c r="E13" s="1">
        <v>0.9</v>
      </c>
      <c r="F13" s="1">
        <v>1.18</v>
      </c>
      <c r="G13" s="4">
        <f t="shared" si="5"/>
        <v>5.7985199999999999</v>
      </c>
      <c r="H13" s="12"/>
      <c r="I13" s="3"/>
      <c r="J13" s="3"/>
      <c r="O13" s="1">
        <v>3</v>
      </c>
      <c r="P13" s="1">
        <v>18</v>
      </c>
      <c r="Q13" s="1" t="s">
        <v>6</v>
      </c>
      <c r="R13" s="1">
        <f t="shared" si="7"/>
        <v>0.16666666666666666</v>
      </c>
      <c r="S13" s="1">
        <f t="shared" si="6"/>
        <v>0.16666666666666666</v>
      </c>
      <c r="T13" s="4">
        <f t="shared" si="0"/>
        <v>8.6666666666666661</v>
      </c>
      <c r="U13" s="10">
        <f t="shared" si="1"/>
        <v>14.465186666666666</v>
      </c>
      <c r="V13" s="1">
        <f>Y1*U13</f>
        <v>2314.4298666666664</v>
      </c>
      <c r="W13" s="1">
        <v>52</v>
      </c>
    </row>
    <row r="14" spans="1:28" x14ac:dyDescent="0.3">
      <c r="A14" s="1" t="s">
        <v>14</v>
      </c>
      <c r="B14" s="1" t="s">
        <v>35</v>
      </c>
      <c r="C14" s="2">
        <v>1</v>
      </c>
      <c r="D14" s="1">
        <v>12</v>
      </c>
      <c r="E14" s="1">
        <v>0.9</v>
      </c>
      <c r="F14" s="1">
        <v>1.18</v>
      </c>
      <c r="G14" s="4">
        <f t="shared" si="5"/>
        <v>12.744</v>
      </c>
      <c r="H14" s="12"/>
      <c r="I14" s="3"/>
      <c r="J14" s="3"/>
      <c r="O14" s="1">
        <v>3</v>
      </c>
      <c r="P14" s="1">
        <v>18</v>
      </c>
      <c r="Q14" s="1" t="s">
        <v>6</v>
      </c>
      <c r="R14" s="1">
        <f t="shared" si="7"/>
        <v>0.16666666666666666</v>
      </c>
      <c r="S14" s="1">
        <f t="shared" si="6"/>
        <v>0.16666666666666666</v>
      </c>
      <c r="T14" s="4">
        <f t="shared" si="0"/>
        <v>8.6666666666666661</v>
      </c>
      <c r="U14" s="10">
        <f t="shared" si="1"/>
        <v>21.410666666666664</v>
      </c>
      <c r="V14" s="1">
        <f>Y1*U14</f>
        <v>3425.706666666666</v>
      </c>
      <c r="W14" s="1">
        <v>52</v>
      </c>
    </row>
    <row r="15" spans="1:28" hidden="1" x14ac:dyDescent="0.3">
      <c r="A15" s="1" t="s">
        <v>14</v>
      </c>
      <c r="B15" s="1" t="s">
        <v>53</v>
      </c>
      <c r="C15" s="2">
        <v>1</v>
      </c>
      <c r="D15" s="1">
        <f>6.93/0.2*0.24</f>
        <v>8.3159999999999989</v>
      </c>
      <c r="E15" s="1">
        <v>0.9</v>
      </c>
      <c r="F15" s="1">
        <v>1.18</v>
      </c>
      <c r="G15" s="4">
        <f t="shared" si="5"/>
        <v>8.8315919999999988</v>
      </c>
      <c r="H15" s="12"/>
      <c r="I15" s="3"/>
      <c r="J15" s="3"/>
      <c r="O15" s="1">
        <v>3</v>
      </c>
      <c r="P15" s="1">
        <v>18</v>
      </c>
      <c r="Q15" s="1" t="s">
        <v>6</v>
      </c>
      <c r="R15" s="1">
        <f t="shared" si="7"/>
        <v>0.16666666666666666</v>
      </c>
      <c r="S15" s="1">
        <f t="shared" si="6"/>
        <v>0.16666666666666666</v>
      </c>
      <c r="T15" s="4">
        <f t="shared" si="0"/>
        <v>8.6666666666666661</v>
      </c>
      <c r="U15" s="10">
        <f t="shared" si="1"/>
        <v>17.498258666666665</v>
      </c>
      <c r="V15" s="1">
        <f>Y1*U15</f>
        <v>2799.7213866666661</v>
      </c>
      <c r="W15" s="1">
        <v>52</v>
      </c>
    </row>
    <row r="16" spans="1:28" x14ac:dyDescent="0.3">
      <c r="A16" s="1" t="s">
        <v>25</v>
      </c>
      <c r="B16" s="1" t="s">
        <v>35</v>
      </c>
      <c r="C16" s="2">
        <v>1</v>
      </c>
      <c r="D16" s="1">
        <v>4.5</v>
      </c>
      <c r="E16" s="1">
        <v>1.1200000000000001</v>
      </c>
      <c r="F16" s="1">
        <v>1.18</v>
      </c>
      <c r="G16" s="4">
        <f t="shared" si="5"/>
        <v>5.9472000000000005</v>
      </c>
      <c r="H16" s="12">
        <v>0.15</v>
      </c>
      <c r="I16" s="3"/>
      <c r="J16" s="3"/>
      <c r="O16" s="1">
        <v>3</v>
      </c>
      <c r="P16" s="1">
        <v>20</v>
      </c>
      <c r="Q16" s="1" t="s">
        <v>6</v>
      </c>
      <c r="R16" s="1">
        <f t="shared" si="7"/>
        <v>0.15</v>
      </c>
      <c r="S16" s="1">
        <f>R16+N16</f>
        <v>0.15</v>
      </c>
      <c r="T16" s="4">
        <f t="shared" si="0"/>
        <v>7.8</v>
      </c>
      <c r="U16" s="10">
        <f t="shared" si="1"/>
        <v>13.897200000000002</v>
      </c>
      <c r="V16" s="1">
        <f>Y1*U16</f>
        <v>2223.5520000000001</v>
      </c>
      <c r="W16" s="1">
        <v>52</v>
      </c>
      <c r="Z16" s="1">
        <v>241</v>
      </c>
      <c r="AA16" s="1" t="s">
        <v>48</v>
      </c>
      <c r="AB16" s="2"/>
    </row>
    <row r="17" spans="1:27" x14ac:dyDescent="0.3">
      <c r="A17" s="1" t="s">
        <v>112</v>
      </c>
      <c r="B17" s="1" t="s">
        <v>35</v>
      </c>
      <c r="C17" s="2">
        <v>4.5</v>
      </c>
      <c r="D17" s="1">
        <v>1</v>
      </c>
      <c r="E17" s="1">
        <v>1.1000000000000001</v>
      </c>
      <c r="F17" s="1">
        <v>1.18</v>
      </c>
      <c r="G17" s="4">
        <f t="shared" si="5"/>
        <v>5.8410000000000002</v>
      </c>
      <c r="H17" s="12"/>
      <c r="I17" s="3"/>
      <c r="J17" s="3"/>
      <c r="O17" s="1">
        <v>2</v>
      </c>
      <c r="P17" s="1">
        <v>9</v>
      </c>
      <c r="Q17" s="1" t="s">
        <v>6</v>
      </c>
      <c r="R17" s="1">
        <f t="shared" si="7"/>
        <v>0.22222222222222221</v>
      </c>
      <c r="S17" s="1">
        <f t="shared" si="6"/>
        <v>0.22222222222222221</v>
      </c>
      <c r="T17" s="4">
        <f t="shared" si="0"/>
        <v>11.555555555555555</v>
      </c>
      <c r="U17" s="10">
        <f t="shared" si="1"/>
        <v>17.396555555555555</v>
      </c>
      <c r="V17" s="1">
        <f>Y1*U17</f>
        <v>2783.4488888888886</v>
      </c>
      <c r="W17" s="1">
        <v>52</v>
      </c>
    </row>
    <row r="18" spans="1:27" x14ac:dyDescent="0.3">
      <c r="A18" s="1" t="s">
        <v>28</v>
      </c>
      <c r="B18" s="1" t="s">
        <v>35</v>
      </c>
      <c r="C18" s="2">
        <v>1</v>
      </c>
      <c r="D18" s="1">
        <v>1</v>
      </c>
      <c r="E18" s="1">
        <v>1.05</v>
      </c>
      <c r="F18" s="1">
        <v>1.18</v>
      </c>
      <c r="G18" s="4">
        <f t="shared" si="2"/>
        <v>1.2389999999999999</v>
      </c>
      <c r="H18" s="12"/>
      <c r="I18" s="3"/>
      <c r="J18" s="3"/>
      <c r="O18" s="1">
        <v>2</v>
      </c>
      <c r="P18" s="1">
        <v>200</v>
      </c>
      <c r="Q18" s="1" t="s">
        <v>6</v>
      </c>
      <c r="R18" s="1">
        <f t="shared" ref="R18" si="8">O18/P18</f>
        <v>0.01</v>
      </c>
      <c r="S18" s="1">
        <f t="shared" si="4"/>
        <v>0.01</v>
      </c>
      <c r="T18" s="4">
        <f t="shared" si="0"/>
        <v>0.52</v>
      </c>
      <c r="U18" s="10">
        <f t="shared" si="1"/>
        <v>1.7589999999999999</v>
      </c>
      <c r="V18" s="1">
        <f>Y1*U18</f>
        <v>281.44</v>
      </c>
      <c r="W18" s="1">
        <v>52</v>
      </c>
    </row>
    <row r="19" spans="1:27" x14ac:dyDescent="0.3">
      <c r="A19" s="1" t="s">
        <v>29</v>
      </c>
      <c r="B19" s="1" t="s">
        <v>35</v>
      </c>
      <c r="C19" s="2">
        <f>60/215</f>
        <v>0.27906976744186046</v>
      </c>
      <c r="D19" s="1">
        <v>1.25</v>
      </c>
      <c r="E19" s="1">
        <v>1</v>
      </c>
      <c r="F19" s="1">
        <v>1.3</v>
      </c>
      <c r="G19" s="4">
        <f t="shared" ref="G19:G23" si="9">C19*E19*F19*D19</f>
        <v>0.45348837209302328</v>
      </c>
      <c r="H19" s="12"/>
      <c r="I19" s="3"/>
      <c r="J19" s="3"/>
      <c r="O19" s="1">
        <v>1</v>
      </c>
      <c r="P19" s="1">
        <v>100</v>
      </c>
      <c r="Q19" s="1" t="s">
        <v>27</v>
      </c>
      <c r="R19" s="1">
        <f t="shared" ref="R19" si="10">O19/P19</f>
        <v>0.01</v>
      </c>
      <c r="S19" s="1">
        <f t="shared" si="4"/>
        <v>0.01</v>
      </c>
      <c r="T19" s="4">
        <f t="shared" si="0"/>
        <v>0.52</v>
      </c>
      <c r="U19" s="10">
        <f t="shared" si="1"/>
        <v>0.9734883720930233</v>
      </c>
      <c r="V19" s="1">
        <f>Y1*U19</f>
        <v>155.75813953488372</v>
      </c>
      <c r="W19" s="1">
        <v>52</v>
      </c>
    </row>
    <row r="20" spans="1:27" x14ac:dyDescent="0.3">
      <c r="A20" s="1" t="s">
        <v>30</v>
      </c>
      <c r="B20" s="1" t="s">
        <v>35</v>
      </c>
      <c r="G20" s="4">
        <f t="shared" si="9"/>
        <v>0</v>
      </c>
      <c r="H20" s="12">
        <v>2.9</v>
      </c>
      <c r="I20" s="3"/>
      <c r="J20" s="3"/>
      <c r="S20" s="1">
        <f t="shared" si="4"/>
        <v>0</v>
      </c>
      <c r="T20" s="4">
        <f t="shared" si="0"/>
        <v>0</v>
      </c>
      <c r="U20" s="10">
        <f t="shared" si="1"/>
        <v>2.9</v>
      </c>
      <c r="V20" s="1">
        <f>Y1*U20</f>
        <v>464</v>
      </c>
      <c r="W20" s="1">
        <v>52</v>
      </c>
    </row>
    <row r="21" spans="1:27" x14ac:dyDescent="0.3">
      <c r="A21" s="1" t="s">
        <v>31</v>
      </c>
      <c r="B21" s="1" t="s">
        <v>35</v>
      </c>
      <c r="G21" s="4">
        <f t="shared" si="9"/>
        <v>0</v>
      </c>
      <c r="H21" s="12">
        <v>1.4</v>
      </c>
      <c r="I21" s="3"/>
      <c r="J21" s="3"/>
      <c r="S21" s="1">
        <f t="shared" si="4"/>
        <v>0</v>
      </c>
      <c r="T21" s="4">
        <f t="shared" si="0"/>
        <v>0</v>
      </c>
      <c r="U21" s="10">
        <f t="shared" si="1"/>
        <v>1.4</v>
      </c>
      <c r="V21" s="1">
        <f>Y1*U21</f>
        <v>224</v>
      </c>
      <c r="W21" s="1">
        <v>52</v>
      </c>
    </row>
    <row r="22" spans="1:27" x14ac:dyDescent="0.3">
      <c r="A22" s="1" t="s">
        <v>61</v>
      </c>
      <c r="B22" s="1" t="s">
        <v>35</v>
      </c>
      <c r="C22" s="2">
        <v>0.06</v>
      </c>
      <c r="G22" s="4">
        <f t="shared" si="9"/>
        <v>0</v>
      </c>
      <c r="H22" s="12"/>
      <c r="I22" s="3">
        <v>14.5</v>
      </c>
      <c r="J22" s="3"/>
      <c r="S22" s="1">
        <f t="shared" si="4"/>
        <v>0</v>
      </c>
      <c r="T22" s="4">
        <f t="shared" si="0"/>
        <v>0</v>
      </c>
      <c r="U22" s="10">
        <f t="shared" si="1"/>
        <v>14.5</v>
      </c>
      <c r="V22" s="1">
        <f>Y1*U22</f>
        <v>2320</v>
      </c>
      <c r="W22" s="1">
        <v>52</v>
      </c>
    </row>
    <row r="23" spans="1:27" x14ac:dyDescent="0.3">
      <c r="A23" s="1" t="s">
        <v>32</v>
      </c>
      <c r="B23" s="1" t="s">
        <v>35</v>
      </c>
      <c r="C23" s="2">
        <v>0.06</v>
      </c>
      <c r="D23" s="1">
        <v>650</v>
      </c>
      <c r="E23" s="1">
        <v>1.1200000000000001</v>
      </c>
      <c r="F23" s="1">
        <v>1.18</v>
      </c>
      <c r="G23" s="4">
        <f t="shared" si="9"/>
        <v>51.542400000000001</v>
      </c>
      <c r="H23" s="12"/>
      <c r="I23" s="3"/>
      <c r="J23" s="3"/>
      <c r="S23" s="1">
        <f t="shared" si="4"/>
        <v>0</v>
      </c>
      <c r="T23" s="4">
        <f t="shared" si="0"/>
        <v>0</v>
      </c>
      <c r="U23" s="10">
        <f t="shared" si="1"/>
        <v>51.542400000000001</v>
      </c>
      <c r="V23" s="1">
        <f>Y1*U23</f>
        <v>8246.7839999999997</v>
      </c>
      <c r="W23" s="1">
        <v>52</v>
      </c>
    </row>
    <row r="24" spans="1:27" x14ac:dyDescent="0.3">
      <c r="A24" s="1" t="s">
        <v>33</v>
      </c>
      <c r="B24" s="1" t="s">
        <v>35</v>
      </c>
      <c r="C24" s="2">
        <v>1</v>
      </c>
      <c r="G24" s="4"/>
      <c r="H24" s="12"/>
      <c r="I24" s="3"/>
      <c r="J24" s="3"/>
      <c r="O24" s="1">
        <v>3</v>
      </c>
      <c r="P24" s="1">
        <v>9</v>
      </c>
      <c r="Q24" s="1" t="s">
        <v>6</v>
      </c>
      <c r="R24" s="1">
        <f>O24/P24</f>
        <v>0.33333333333333331</v>
      </c>
      <c r="S24" s="1">
        <f t="shared" si="4"/>
        <v>0.33333333333333331</v>
      </c>
      <c r="T24" s="4">
        <f>S24*W24</f>
        <v>17.333333333333332</v>
      </c>
      <c r="U24" s="10">
        <f t="shared" si="1"/>
        <v>17.333333333333332</v>
      </c>
      <c r="V24" s="1">
        <f>Y1*U24</f>
        <v>2773.333333333333</v>
      </c>
      <c r="W24" s="1">
        <v>52</v>
      </c>
      <c r="Y24" s="1">
        <f>(V4+V5+V7+V8+V9+V11+V14+V16+V17+V18+V19+V20+V21+V22+V23+V24)/Y1</f>
        <v>246.68434249907713</v>
      </c>
      <c r="Z24" s="1" t="s">
        <v>82</v>
      </c>
      <c r="AA24" s="1" t="s">
        <v>111</v>
      </c>
    </row>
    <row r="25" spans="1:27" x14ac:dyDescent="0.3">
      <c r="W25" s="1">
        <v>52</v>
      </c>
    </row>
    <row r="26" spans="1:27" x14ac:dyDescent="0.3">
      <c r="A26" s="1" t="s">
        <v>44</v>
      </c>
      <c r="B26" s="1" t="s">
        <v>24</v>
      </c>
      <c r="C26" s="2">
        <f>0.25*1</f>
        <v>0.25</v>
      </c>
      <c r="D26" s="1">
        <v>22</v>
      </c>
      <c r="E26" s="1">
        <v>1.1000000000000001</v>
      </c>
      <c r="F26" s="1">
        <v>1.18</v>
      </c>
      <c r="G26" s="4">
        <f t="shared" ref="G26:G33" si="11">C26*E26*F26*D26</f>
        <v>7.1390000000000002</v>
      </c>
      <c r="H26" s="12">
        <v>0.4</v>
      </c>
      <c r="I26" s="3"/>
      <c r="J26" s="3"/>
      <c r="K26" s="1">
        <v>2</v>
      </c>
      <c r="L26" s="1">
        <v>20</v>
      </c>
      <c r="M26" s="1" t="s">
        <v>11</v>
      </c>
      <c r="N26" s="1">
        <f>K26/L26</f>
        <v>0.1</v>
      </c>
      <c r="O26" s="1">
        <v>2</v>
      </c>
      <c r="P26" s="1">
        <v>3.8</v>
      </c>
      <c r="Q26" s="1" t="s">
        <v>11</v>
      </c>
      <c r="R26" s="1">
        <f t="shared" ref="R26:R33" si="12">O26/P26</f>
        <v>0.52631578947368418</v>
      </c>
      <c r="S26" s="1">
        <f t="shared" ref="S26:S33" si="13">R26+N26</f>
        <v>0.62631578947368416</v>
      </c>
      <c r="T26" s="4">
        <f t="shared" ref="T26:T33" si="14">S26*W26</f>
        <v>32.568421052631578</v>
      </c>
      <c r="U26" s="10">
        <f t="shared" ref="U26:U31" si="15">G26+H26+T26+I26</f>
        <v>40.10742105263158</v>
      </c>
      <c r="V26" s="1">
        <f>Y2*U26</f>
        <v>1090.921852631579</v>
      </c>
      <c r="W26" s="1">
        <v>52</v>
      </c>
    </row>
    <row r="27" spans="1:27" x14ac:dyDescent="0.3">
      <c r="A27" s="1" t="s">
        <v>45</v>
      </c>
      <c r="B27" s="1" t="s">
        <v>24</v>
      </c>
      <c r="C27" s="2">
        <v>0.4</v>
      </c>
      <c r="D27" s="1">
        <v>19</v>
      </c>
      <c r="E27" s="1">
        <v>1.1000000000000001</v>
      </c>
      <c r="F27" s="1">
        <v>1.18</v>
      </c>
      <c r="G27" s="4">
        <f t="shared" si="11"/>
        <v>9.8648000000000007</v>
      </c>
      <c r="H27" s="12">
        <v>0.4</v>
      </c>
      <c r="I27" s="3"/>
      <c r="J27" s="3"/>
      <c r="K27" s="1">
        <v>2</v>
      </c>
      <c r="L27" s="1">
        <v>20</v>
      </c>
      <c r="M27" s="1" t="s">
        <v>11</v>
      </c>
      <c r="N27" s="1">
        <f>K27/L27</f>
        <v>0.1</v>
      </c>
      <c r="O27" s="1">
        <v>2</v>
      </c>
      <c r="P27" s="1">
        <v>3.2</v>
      </c>
      <c r="Q27" s="1" t="s">
        <v>11</v>
      </c>
      <c r="R27" s="1">
        <f t="shared" si="12"/>
        <v>0.625</v>
      </c>
      <c r="S27" s="1">
        <f t="shared" si="13"/>
        <v>0.72499999999999998</v>
      </c>
      <c r="T27" s="4">
        <f t="shared" si="14"/>
        <v>37.699999999999996</v>
      </c>
      <c r="U27" s="10">
        <f t="shared" si="15"/>
        <v>47.964799999999997</v>
      </c>
      <c r="V27" s="1">
        <f>Y2*U27</f>
        <v>1304.6425599999998</v>
      </c>
      <c r="W27" s="1">
        <v>52</v>
      </c>
    </row>
    <row r="28" spans="1:27" x14ac:dyDescent="0.3">
      <c r="A28" s="1" t="s">
        <v>20</v>
      </c>
      <c r="B28" s="1" t="s">
        <v>24</v>
      </c>
      <c r="C28" s="2">
        <v>0.15</v>
      </c>
      <c r="D28" s="1">
        <v>16</v>
      </c>
      <c r="E28" s="1">
        <v>1.1499999999999999</v>
      </c>
      <c r="F28" s="1">
        <v>2.1800000000000002</v>
      </c>
      <c r="G28" s="4">
        <f t="shared" si="11"/>
        <v>6.0167999999999999</v>
      </c>
      <c r="H28" s="12">
        <v>0.1</v>
      </c>
      <c r="I28" s="3"/>
      <c r="J28" s="3"/>
      <c r="K28" s="1">
        <v>2</v>
      </c>
      <c r="L28" s="1">
        <v>36</v>
      </c>
      <c r="M28" s="1" t="s">
        <v>11</v>
      </c>
      <c r="N28" s="1">
        <f>K28/L28</f>
        <v>5.5555555555555552E-2</v>
      </c>
      <c r="O28" s="1">
        <v>2</v>
      </c>
      <c r="P28" s="1">
        <v>36</v>
      </c>
      <c r="Q28" s="1" t="s">
        <v>11</v>
      </c>
      <c r="R28" s="1">
        <f t="shared" si="12"/>
        <v>5.5555555555555552E-2</v>
      </c>
      <c r="S28" s="1">
        <f t="shared" si="13"/>
        <v>0.1111111111111111</v>
      </c>
      <c r="T28" s="4">
        <f t="shared" si="14"/>
        <v>5.7777777777777777</v>
      </c>
      <c r="U28" s="10">
        <f t="shared" si="15"/>
        <v>11.894577777777776</v>
      </c>
      <c r="V28" s="1">
        <f>Y3*U28</f>
        <v>184.36595555555553</v>
      </c>
      <c r="W28" s="1">
        <v>52</v>
      </c>
    </row>
    <row r="29" spans="1:27" x14ac:dyDescent="0.3">
      <c r="A29" s="1" t="s">
        <v>21</v>
      </c>
      <c r="B29" s="1" t="s">
        <v>24</v>
      </c>
      <c r="C29" s="2">
        <v>1</v>
      </c>
      <c r="D29" s="1">
        <v>9.5</v>
      </c>
      <c r="E29" s="1">
        <v>1.1499999999999999</v>
      </c>
      <c r="F29" s="1">
        <v>2.1800000000000002</v>
      </c>
      <c r="G29" s="4">
        <f t="shared" si="11"/>
        <v>23.816500000000001</v>
      </c>
      <c r="H29" s="12">
        <v>0.1</v>
      </c>
      <c r="I29" s="3"/>
      <c r="J29" s="3"/>
      <c r="K29" s="1">
        <v>2</v>
      </c>
      <c r="L29" s="1">
        <v>36</v>
      </c>
      <c r="M29" s="1" t="s">
        <v>11</v>
      </c>
      <c r="N29" s="1">
        <f t="shared" ref="N29" si="16">K29/L29</f>
        <v>5.5555555555555552E-2</v>
      </c>
      <c r="O29" s="1">
        <v>2</v>
      </c>
      <c r="P29" s="1">
        <v>36</v>
      </c>
      <c r="Q29" s="1" t="s">
        <v>11</v>
      </c>
      <c r="R29" s="1">
        <f t="shared" si="12"/>
        <v>5.5555555555555552E-2</v>
      </c>
      <c r="S29" s="1">
        <f t="shared" si="13"/>
        <v>0.1111111111111111</v>
      </c>
      <c r="T29" s="4">
        <f t="shared" si="14"/>
        <v>5.7777777777777777</v>
      </c>
      <c r="U29" s="10">
        <f t="shared" si="15"/>
        <v>29.694277777777781</v>
      </c>
      <c r="V29" s="1">
        <f>Y3*U29</f>
        <v>460.26130555555562</v>
      </c>
      <c r="W29" s="1">
        <v>52</v>
      </c>
    </row>
    <row r="30" spans="1:27" x14ac:dyDescent="0.3">
      <c r="A30" s="1" t="s">
        <v>23</v>
      </c>
      <c r="B30" s="1" t="s">
        <v>24</v>
      </c>
      <c r="C30" s="2">
        <v>4</v>
      </c>
      <c r="D30" s="1">
        <v>0.55000000000000004</v>
      </c>
      <c r="E30" s="1">
        <v>1.1000000000000001</v>
      </c>
      <c r="F30" s="1">
        <v>1.18</v>
      </c>
      <c r="G30" s="4">
        <f t="shared" si="11"/>
        <v>2.8556000000000004</v>
      </c>
      <c r="H30" s="12"/>
      <c r="I30" s="3"/>
      <c r="J30" s="3"/>
      <c r="O30" s="1">
        <v>2</v>
      </c>
      <c r="P30" s="1">
        <v>15</v>
      </c>
      <c r="Q30" s="1" t="s">
        <v>6</v>
      </c>
      <c r="R30" s="1">
        <f t="shared" si="12"/>
        <v>0.13333333333333333</v>
      </c>
      <c r="S30" s="1">
        <f t="shared" si="13"/>
        <v>0.13333333333333333</v>
      </c>
      <c r="T30" s="4">
        <f t="shared" si="14"/>
        <v>6.9333333333333336</v>
      </c>
      <c r="U30" s="10">
        <f t="shared" si="15"/>
        <v>9.7889333333333344</v>
      </c>
      <c r="V30" s="1">
        <f>Y6*U30</f>
        <v>0</v>
      </c>
      <c r="W30" s="1">
        <v>52</v>
      </c>
    </row>
    <row r="31" spans="1:27" x14ac:dyDescent="0.3">
      <c r="A31" s="1" t="s">
        <v>98</v>
      </c>
      <c r="B31" s="1" t="s">
        <v>24</v>
      </c>
      <c r="C31" s="2">
        <v>0.3</v>
      </c>
      <c r="D31" s="1">
        <v>5.0999999999999996</v>
      </c>
      <c r="E31" s="1">
        <v>1.1200000000000001</v>
      </c>
      <c r="F31" s="1">
        <v>1.18</v>
      </c>
      <c r="G31" s="4">
        <f t="shared" si="11"/>
        <v>2.0220479999999998</v>
      </c>
      <c r="H31" s="12">
        <v>0.1</v>
      </c>
      <c r="I31" s="3"/>
      <c r="J31" s="3"/>
      <c r="K31" s="1">
        <v>1</v>
      </c>
      <c r="L31" s="1">
        <v>30</v>
      </c>
      <c r="M31" s="1" t="s">
        <v>27</v>
      </c>
      <c r="N31" s="1">
        <f t="shared" ref="N31" si="17">K31/L31</f>
        <v>3.3333333333333333E-2</v>
      </c>
      <c r="O31" s="1">
        <v>2</v>
      </c>
      <c r="P31" s="1">
        <v>30</v>
      </c>
      <c r="Q31" s="1" t="s">
        <v>11</v>
      </c>
      <c r="R31" s="1">
        <f t="shared" si="12"/>
        <v>6.6666666666666666E-2</v>
      </c>
      <c r="S31" s="1">
        <f t="shared" si="13"/>
        <v>0.1</v>
      </c>
      <c r="T31" s="4">
        <f t="shared" si="14"/>
        <v>5.2</v>
      </c>
      <c r="U31" s="10">
        <f t="shared" si="15"/>
        <v>7.3220480000000006</v>
      </c>
      <c r="V31" s="1">
        <f>Y7*U31</f>
        <v>0</v>
      </c>
      <c r="W31" s="1">
        <v>52</v>
      </c>
    </row>
    <row r="32" spans="1:27" x14ac:dyDescent="0.3">
      <c r="A32" s="1" t="s">
        <v>56</v>
      </c>
      <c r="B32" s="1" t="s">
        <v>24</v>
      </c>
      <c r="C32" s="2">
        <v>1</v>
      </c>
      <c r="D32" s="1">
        <f>17*1.05</f>
        <v>17.850000000000001</v>
      </c>
      <c r="E32" s="1">
        <v>1.1000000000000001</v>
      </c>
      <c r="F32" s="1">
        <v>1.18</v>
      </c>
      <c r="G32" s="4">
        <f t="shared" si="11"/>
        <v>23.169300000000003</v>
      </c>
      <c r="H32" s="12">
        <v>0.2</v>
      </c>
      <c r="I32" s="3"/>
      <c r="J32" s="3"/>
      <c r="K32" s="1">
        <v>1</v>
      </c>
      <c r="L32" s="1">
        <v>3</v>
      </c>
      <c r="M32" s="1" t="s">
        <v>11</v>
      </c>
      <c r="N32" s="1">
        <f>K32/L32</f>
        <v>0.33333333333333331</v>
      </c>
      <c r="O32" s="1">
        <v>2</v>
      </c>
      <c r="P32" s="1">
        <v>40</v>
      </c>
      <c r="Q32" s="1" t="s">
        <v>11</v>
      </c>
      <c r="R32" s="1">
        <f t="shared" si="12"/>
        <v>0.05</v>
      </c>
      <c r="S32" s="1">
        <f t="shared" si="13"/>
        <v>0.3833333333333333</v>
      </c>
      <c r="T32" s="4">
        <f t="shared" si="14"/>
        <v>19.93333333333333</v>
      </c>
      <c r="U32" s="10">
        <f>G32+H32+T32+I32+U28</f>
        <v>55.197211111111109</v>
      </c>
      <c r="V32" s="1">
        <f>Y3*U32</f>
        <v>855.55677222222221</v>
      </c>
      <c r="W32" s="1">
        <v>52</v>
      </c>
    </row>
    <row r="33" spans="1:25" x14ac:dyDescent="0.3">
      <c r="A33" s="1" t="s">
        <v>57</v>
      </c>
      <c r="B33" s="1" t="s">
        <v>24</v>
      </c>
      <c r="C33" s="2">
        <v>1</v>
      </c>
      <c r="D33" s="1">
        <f>17*1.05</f>
        <v>17.850000000000001</v>
      </c>
      <c r="E33" s="1">
        <v>1.1000000000000001</v>
      </c>
      <c r="F33" s="1">
        <v>1.18</v>
      </c>
      <c r="G33" s="4">
        <f t="shared" si="11"/>
        <v>23.169300000000003</v>
      </c>
      <c r="H33" s="12">
        <v>0.2</v>
      </c>
      <c r="I33" s="3"/>
      <c r="J33" s="3"/>
      <c r="K33" s="1">
        <v>1</v>
      </c>
      <c r="L33" s="1">
        <v>2</v>
      </c>
      <c r="M33" s="1" t="s">
        <v>11</v>
      </c>
      <c r="N33" s="1">
        <f>K33/L33</f>
        <v>0.5</v>
      </c>
      <c r="O33" s="1">
        <v>2</v>
      </c>
      <c r="P33" s="1">
        <v>40</v>
      </c>
      <c r="Q33" s="1" t="s">
        <v>11</v>
      </c>
      <c r="R33" s="1">
        <f t="shared" si="12"/>
        <v>0.05</v>
      </c>
      <c r="S33" s="1">
        <f t="shared" si="13"/>
        <v>0.55000000000000004</v>
      </c>
      <c r="T33" s="4">
        <f t="shared" si="14"/>
        <v>28.6</v>
      </c>
      <c r="U33" s="10">
        <f>G33+H33+T33+I33+2*U28</f>
        <v>75.758455555555557</v>
      </c>
      <c r="V33" s="1">
        <f>Y3*U33</f>
        <v>1174.2560611111112</v>
      </c>
      <c r="W33" s="1">
        <v>52</v>
      </c>
      <c r="Y33" s="1" t="s">
        <v>69</v>
      </c>
    </row>
    <row r="34" spans="1:25" x14ac:dyDescent="0.3">
      <c r="W34" s="1">
        <v>52</v>
      </c>
    </row>
    <row r="35" spans="1:25" x14ac:dyDescent="0.3">
      <c r="W35" s="1">
        <v>50</v>
      </c>
    </row>
    <row r="36" spans="1:25" x14ac:dyDescent="0.3">
      <c r="A36" s="1" t="s">
        <v>113</v>
      </c>
      <c r="B36" s="1" t="s">
        <v>35</v>
      </c>
      <c r="C36" s="2">
        <v>1</v>
      </c>
      <c r="D36" s="1">
        <v>20</v>
      </c>
      <c r="E36" s="1">
        <v>1.1200000000000001</v>
      </c>
      <c r="F36" s="1">
        <v>1.18</v>
      </c>
      <c r="G36" s="4">
        <f>C36*E36*F36*D36</f>
        <v>26.432000000000002</v>
      </c>
      <c r="H36" s="12">
        <v>0.15</v>
      </c>
      <c r="I36" s="3"/>
      <c r="J36" s="3"/>
      <c r="O36" s="1">
        <v>3</v>
      </c>
      <c r="P36" s="1">
        <v>1.5</v>
      </c>
      <c r="Q36" s="1" t="s">
        <v>6</v>
      </c>
      <c r="R36" s="1">
        <f>O36/P36</f>
        <v>2</v>
      </c>
      <c r="S36" s="1">
        <f>R36+N36</f>
        <v>2</v>
      </c>
      <c r="T36" s="4">
        <f>S36*W36</f>
        <v>104</v>
      </c>
      <c r="U36" s="10">
        <f t="shared" ref="U36" si="18">G36+H36+T36+I36</f>
        <v>130.58199999999999</v>
      </c>
      <c r="V36" s="1">
        <f>Y32*U36</f>
        <v>0</v>
      </c>
      <c r="W36" s="1">
        <v>52</v>
      </c>
    </row>
    <row r="37" spans="1:25" x14ac:dyDescent="0.3">
      <c r="W37" s="1">
        <v>50</v>
      </c>
    </row>
    <row r="38" spans="1:25" x14ac:dyDescent="0.3">
      <c r="A38" s="1" t="s">
        <v>26</v>
      </c>
      <c r="B38" s="1" t="s">
        <v>35</v>
      </c>
      <c r="C38" s="2">
        <f>0.025</f>
        <v>2.5000000000000001E-2</v>
      </c>
      <c r="D38" s="1">
        <v>310</v>
      </c>
      <c r="E38" s="1">
        <v>1.1200000000000001</v>
      </c>
      <c r="F38" s="1">
        <v>1.18</v>
      </c>
      <c r="G38" s="4">
        <f t="shared" ref="G38" si="19">C38*E38*F38*D38</f>
        <v>10.2424</v>
      </c>
      <c r="H38" s="12">
        <v>0.15</v>
      </c>
      <c r="I38" s="3"/>
      <c r="J38" s="3"/>
      <c r="O38" s="1">
        <v>3</v>
      </c>
      <c r="P38" s="1">
        <v>16</v>
      </c>
      <c r="Q38" s="1" t="s">
        <v>6</v>
      </c>
      <c r="R38" s="1">
        <f t="shared" ref="R38" si="20">O38/P38</f>
        <v>0.1875</v>
      </c>
      <c r="S38" s="1">
        <f>R38+N38</f>
        <v>0.1875</v>
      </c>
      <c r="T38" s="4">
        <f t="shared" ref="T38" si="21">S38*W38</f>
        <v>9.375</v>
      </c>
      <c r="U38" s="10">
        <f t="shared" ref="U38" si="22">G38+H38+T38+I38</f>
        <v>19.767400000000002</v>
      </c>
      <c r="V38" s="1">
        <f>Y34*U38</f>
        <v>0</v>
      </c>
      <c r="W38" s="1">
        <v>50</v>
      </c>
    </row>
    <row r="39" spans="1:25" x14ac:dyDescent="0.3">
      <c r="W39" s="1">
        <v>50</v>
      </c>
    </row>
    <row r="40" spans="1:25" x14ac:dyDescent="0.3">
      <c r="A40" s="1" t="s">
        <v>7</v>
      </c>
      <c r="B40" s="1" t="s">
        <v>50</v>
      </c>
      <c r="C40" s="2">
        <f>1/0.3*0.05*0.04</f>
        <v>6.666666666666668E-3</v>
      </c>
      <c r="D40" s="1">
        <v>225</v>
      </c>
      <c r="E40" s="1">
        <v>1.1499999999999999</v>
      </c>
      <c r="F40" s="1">
        <v>1.18</v>
      </c>
      <c r="G40" s="4">
        <f t="shared" ref="G40:G41" si="23">C40*E40*F40*D40</f>
        <v>2.0355000000000003</v>
      </c>
      <c r="H40" s="12">
        <v>0.25</v>
      </c>
      <c r="I40" s="3"/>
      <c r="J40" s="3"/>
      <c r="O40" s="1">
        <v>3</v>
      </c>
      <c r="P40" s="1">
        <v>20</v>
      </c>
      <c r="Q40" s="1" t="s">
        <v>6</v>
      </c>
      <c r="R40" s="1">
        <f>O40/P40</f>
        <v>0.15</v>
      </c>
      <c r="S40" s="1">
        <f>R40+N40</f>
        <v>0.15</v>
      </c>
      <c r="T40" s="4">
        <f t="shared" ref="T40:T41" si="24">S40*W40</f>
        <v>7.8</v>
      </c>
      <c r="U40" s="10">
        <f t="shared" ref="U40:U41" si="25">G40+H40+T40+I40</f>
        <v>10.0855</v>
      </c>
      <c r="V40" s="1">
        <f>Y35*U40</f>
        <v>0</v>
      </c>
      <c r="W40" s="1">
        <v>52</v>
      </c>
    </row>
    <row r="41" spans="1:25" x14ac:dyDescent="0.3">
      <c r="A41" s="1" t="s">
        <v>18</v>
      </c>
      <c r="B41" s="1" t="s">
        <v>35</v>
      </c>
      <c r="C41" s="2">
        <v>1</v>
      </c>
      <c r="D41" s="1">
        <v>7</v>
      </c>
      <c r="E41" s="1">
        <v>1.5</v>
      </c>
      <c r="F41" s="1">
        <v>1.18</v>
      </c>
      <c r="G41" s="4">
        <f t="shared" si="23"/>
        <v>12.39</v>
      </c>
      <c r="H41" s="12">
        <v>0.05</v>
      </c>
      <c r="I41" s="3">
        <v>0.9</v>
      </c>
      <c r="J41" s="3"/>
      <c r="O41" s="1">
        <v>3</v>
      </c>
      <c r="P41" s="1">
        <v>30</v>
      </c>
      <c r="Q41" s="1" t="s">
        <v>6</v>
      </c>
      <c r="R41" s="1">
        <f t="shared" ref="R41" si="26">O41/P41</f>
        <v>0.1</v>
      </c>
      <c r="S41" s="1">
        <f t="shared" ref="S41" si="27">R41+N41</f>
        <v>0.1</v>
      </c>
      <c r="T41" s="4">
        <f t="shared" si="24"/>
        <v>5</v>
      </c>
      <c r="U41" s="10">
        <f t="shared" si="25"/>
        <v>18.34</v>
      </c>
      <c r="V41" s="1" t="e">
        <f>Y33*U41</f>
        <v>#VALUE!</v>
      </c>
      <c r="W41" s="1">
        <v>50</v>
      </c>
    </row>
    <row r="44" spans="1:25" x14ac:dyDescent="0.3">
      <c r="K44" s="1">
        <f>3*4*9</f>
        <v>108</v>
      </c>
      <c r="L44" s="1">
        <v>50</v>
      </c>
      <c r="M44" s="1">
        <f>K44*L44</f>
        <v>5400</v>
      </c>
      <c r="N44" s="1">
        <f>M44/90</f>
        <v>60</v>
      </c>
      <c r="O44" s="1">
        <f>K44/90</f>
        <v>1.2</v>
      </c>
      <c r="P44" s="1" t="s">
        <v>84</v>
      </c>
      <c r="Q44" s="1" t="s">
        <v>114</v>
      </c>
      <c r="T44" s="1">
        <v>75</v>
      </c>
    </row>
  </sheetData>
  <mergeCells count="3">
    <mergeCell ref="K2:M2"/>
    <mergeCell ref="O2:Q2"/>
    <mergeCell ref="P3:Q3"/>
  </mergeCells>
  <phoneticPr fontId="2" type="noConversion"/>
  <pageMargins left="0.31496062992125984" right="0.19685039370078741" top="0.19685039370078741" bottom="0.19685039370078741" header="0" footer="0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30"/>
  <sheetViews>
    <sheetView zoomScale="115" zoomScaleNormal="115" workbookViewId="0">
      <selection activeCell="A9" sqref="A9:XFD9"/>
    </sheetView>
  </sheetViews>
  <sheetFormatPr baseColWidth="10" defaultColWidth="11.42578125" defaultRowHeight="13.5" x14ac:dyDescent="0.3"/>
  <cols>
    <col min="1" max="1" width="23.42578125" style="1" customWidth="1"/>
    <col min="2" max="2" width="2.85546875" style="1" customWidth="1"/>
    <col min="3" max="3" width="7" style="2" customWidth="1"/>
    <col min="4" max="4" width="9.140625" style="1" customWidth="1"/>
    <col min="5" max="5" width="6.85546875" style="1" customWidth="1"/>
    <col min="6" max="6" width="7.85546875" style="1" customWidth="1"/>
    <col min="7" max="7" width="8.5703125" style="1" customWidth="1"/>
    <col min="8" max="8" width="9" style="1" customWidth="1"/>
    <col min="9" max="10" width="7.5703125" style="1" customWidth="1"/>
    <col min="11" max="11" width="4" style="1" bestFit="1" customWidth="1"/>
    <col min="12" max="13" width="4.85546875" style="1" bestFit="1" customWidth="1"/>
    <col min="14" max="14" width="4" style="1" bestFit="1" customWidth="1"/>
    <col min="15" max="15" width="4.42578125" style="1" bestFit="1" customWidth="1"/>
    <col min="16" max="16" width="5.5703125" style="1" bestFit="1" customWidth="1"/>
    <col min="17" max="17" width="5" style="1" bestFit="1" customWidth="1"/>
    <col min="18" max="18" width="4" style="1" bestFit="1" customWidth="1"/>
    <col min="19" max="19" width="7.42578125" style="1" customWidth="1"/>
    <col min="20" max="20" width="7.5703125" style="1" bestFit="1" customWidth="1"/>
    <col min="21" max="21" width="7" style="1" bestFit="1" customWidth="1"/>
    <col min="22" max="22" width="11.42578125" style="1"/>
    <col min="23" max="23" width="4.85546875" style="1" bestFit="1" customWidth="1"/>
    <col min="24" max="16384" width="11.42578125" style="1"/>
  </cols>
  <sheetData>
    <row r="1" spans="1:27" x14ac:dyDescent="0.3">
      <c r="G1" s="4"/>
      <c r="H1" s="12"/>
      <c r="I1" s="3"/>
      <c r="J1" s="3"/>
      <c r="T1" s="4"/>
      <c r="U1" s="10"/>
      <c r="W1" s="1" t="s">
        <v>3</v>
      </c>
      <c r="X1" s="1" t="s">
        <v>60</v>
      </c>
      <c r="Y1" s="1">
        <v>50</v>
      </c>
    </row>
    <row r="2" spans="1:27" x14ac:dyDescent="0.3">
      <c r="C2" s="2" t="s">
        <v>0</v>
      </c>
      <c r="D2" s="1" t="s">
        <v>5</v>
      </c>
      <c r="E2" s="1" t="s">
        <v>37</v>
      </c>
      <c r="F2" s="1" t="s">
        <v>1</v>
      </c>
      <c r="G2" s="9" t="s">
        <v>38</v>
      </c>
      <c r="H2" s="13" t="s">
        <v>2</v>
      </c>
      <c r="I2" s="6" t="s">
        <v>19</v>
      </c>
      <c r="J2" s="6"/>
      <c r="K2" s="142" t="s">
        <v>10</v>
      </c>
      <c r="L2" s="142"/>
      <c r="M2" s="142"/>
      <c r="N2" s="7"/>
      <c r="O2" s="142" t="s">
        <v>9</v>
      </c>
      <c r="P2" s="142"/>
      <c r="Q2" s="142"/>
      <c r="T2" s="9" t="s">
        <v>43</v>
      </c>
      <c r="U2" s="11" t="s">
        <v>42</v>
      </c>
      <c r="V2" s="15" t="s">
        <v>49</v>
      </c>
      <c r="X2" s="1" t="s">
        <v>54</v>
      </c>
      <c r="Y2" s="1">
        <f>13.6*2</f>
        <v>27.2</v>
      </c>
    </row>
    <row r="3" spans="1:27" x14ac:dyDescent="0.3">
      <c r="G3" s="4"/>
      <c r="H3" s="12"/>
      <c r="I3" s="3"/>
      <c r="J3" s="3"/>
      <c r="K3" s="5"/>
      <c r="L3" s="5"/>
      <c r="M3" s="5"/>
      <c r="O3" s="8" t="s">
        <v>39</v>
      </c>
      <c r="P3" s="143" t="s">
        <v>40</v>
      </c>
      <c r="Q3" s="143"/>
      <c r="T3" s="4"/>
      <c r="U3" s="14" t="s">
        <v>41</v>
      </c>
      <c r="X3" s="1" t="s">
        <v>55</v>
      </c>
      <c r="Y3" s="1">
        <v>15.5</v>
      </c>
    </row>
    <row r="4" spans="1:27" x14ac:dyDescent="0.3">
      <c r="A4" s="1" t="s">
        <v>8</v>
      </c>
      <c r="B4" s="1" t="s">
        <v>35</v>
      </c>
      <c r="C4" s="2">
        <v>1</v>
      </c>
      <c r="D4" s="1">
        <v>3</v>
      </c>
      <c r="E4" s="1">
        <v>1.3</v>
      </c>
      <c r="F4" s="1">
        <v>1.18</v>
      </c>
      <c r="G4" s="4">
        <f>C4*E4*F4*D4</f>
        <v>4.6020000000000003</v>
      </c>
      <c r="H4" s="12">
        <v>0.1</v>
      </c>
      <c r="I4" s="3"/>
      <c r="J4" s="3"/>
      <c r="O4" s="1">
        <v>3</v>
      </c>
      <c r="P4" s="1">
        <v>35</v>
      </c>
      <c r="Q4" s="1" t="s">
        <v>6</v>
      </c>
      <c r="R4" s="1">
        <f>O4/P4</f>
        <v>8.5714285714285715E-2</v>
      </c>
      <c r="S4" s="1">
        <f>R4+N4</f>
        <v>8.5714285714285715E-2</v>
      </c>
      <c r="T4" s="4">
        <f t="shared" ref="T4:T21" si="0">S4*W4</f>
        <v>4.2857142857142856</v>
      </c>
      <c r="U4" s="10">
        <f t="shared" ref="U4:U21" si="1">G4+H4+T4+I4</f>
        <v>8.9877142857142864</v>
      </c>
      <c r="V4" s="1">
        <f>Y1*U4</f>
        <v>449.3857142857143</v>
      </c>
      <c r="W4" s="1">
        <v>50</v>
      </c>
    </row>
    <row r="5" spans="1:27" x14ac:dyDescent="0.3">
      <c r="A5" s="1" t="s">
        <v>26</v>
      </c>
      <c r="B5" s="1" t="s">
        <v>35</v>
      </c>
      <c r="C5" s="2">
        <f>0.025</f>
        <v>2.5000000000000001E-2</v>
      </c>
      <c r="D5" s="1">
        <v>300</v>
      </c>
      <c r="E5" s="1">
        <v>1.1200000000000001</v>
      </c>
      <c r="F5" s="1">
        <v>1.18</v>
      </c>
      <c r="G5" s="4">
        <f t="shared" ref="G5:G20" si="2">C5*E5*F5*D5</f>
        <v>9.9120000000000008</v>
      </c>
      <c r="H5" s="12">
        <v>0.15</v>
      </c>
      <c r="I5" s="3"/>
      <c r="J5" s="3"/>
      <c r="O5" s="1">
        <v>3</v>
      </c>
      <c r="P5" s="1">
        <v>16</v>
      </c>
      <c r="Q5" s="1" t="s">
        <v>6</v>
      </c>
      <c r="R5" s="1">
        <f t="shared" ref="R5:R6" si="3">O5/P5</f>
        <v>0.1875</v>
      </c>
      <c r="S5" s="1">
        <f>R5+N5</f>
        <v>0.1875</v>
      </c>
      <c r="T5" s="4">
        <f t="shared" si="0"/>
        <v>9.375</v>
      </c>
      <c r="U5" s="10">
        <f t="shared" si="1"/>
        <v>19.437000000000001</v>
      </c>
      <c r="V5" s="1">
        <f>Y1*U5</f>
        <v>971.85</v>
      </c>
      <c r="W5" s="1">
        <v>50</v>
      </c>
    </row>
    <row r="6" spans="1:27" x14ac:dyDescent="0.3">
      <c r="A6" s="1" t="s">
        <v>7</v>
      </c>
      <c r="B6" s="1" t="s">
        <v>50</v>
      </c>
      <c r="C6" s="2">
        <f>1/0.3*0.05*0.04</f>
        <v>6.666666666666668E-3</v>
      </c>
      <c r="D6" s="1">
        <v>400</v>
      </c>
      <c r="E6" s="1">
        <v>1.1499999999999999</v>
      </c>
      <c r="F6" s="1">
        <v>1.18</v>
      </c>
      <c r="G6" s="4">
        <f t="shared" si="2"/>
        <v>3.6186666666666674</v>
      </c>
      <c r="H6" s="12">
        <v>0.75</v>
      </c>
      <c r="I6" s="3"/>
      <c r="J6" s="3"/>
      <c r="O6" s="1">
        <v>3</v>
      </c>
      <c r="P6" s="1">
        <v>20</v>
      </c>
      <c r="Q6" s="1" t="s">
        <v>6</v>
      </c>
      <c r="R6" s="1">
        <f t="shared" si="3"/>
        <v>0.15</v>
      </c>
      <c r="S6" s="1">
        <f t="shared" ref="S6:S21" si="4">R6+N6</f>
        <v>0.15</v>
      </c>
      <c r="T6" s="4">
        <f t="shared" si="0"/>
        <v>7.5</v>
      </c>
      <c r="U6" s="10">
        <f t="shared" si="1"/>
        <v>11.868666666666668</v>
      </c>
      <c r="V6" s="1">
        <f>Y1*U6</f>
        <v>593.43333333333339</v>
      </c>
      <c r="W6" s="1">
        <v>50</v>
      </c>
    </row>
    <row r="7" spans="1:27" x14ac:dyDescent="0.3">
      <c r="A7" s="1" t="s">
        <v>4</v>
      </c>
      <c r="B7" s="1" t="s">
        <v>35</v>
      </c>
      <c r="C7" s="2">
        <f>1/0.7*0.06*0.08</f>
        <v>6.8571428571428577E-3</v>
      </c>
      <c r="D7" s="1">
        <v>400</v>
      </c>
      <c r="E7" s="1">
        <v>1.1499999999999999</v>
      </c>
      <c r="F7" s="1">
        <v>1.18</v>
      </c>
      <c r="G7" s="4">
        <f t="shared" ref="G7:G14" si="5">C7*E7*F7*D7</f>
        <v>3.722057142857143</v>
      </c>
      <c r="H7" s="12">
        <v>0.8</v>
      </c>
      <c r="I7" s="3"/>
      <c r="J7" s="3"/>
      <c r="O7" s="1">
        <v>3</v>
      </c>
      <c r="P7" s="1">
        <v>20</v>
      </c>
      <c r="Q7" s="1" t="s">
        <v>6</v>
      </c>
      <c r="R7" s="1">
        <f>O7/P7</f>
        <v>0.15</v>
      </c>
      <c r="S7" s="1">
        <f t="shared" ref="S7:S14" si="6">R7+N7</f>
        <v>0.15</v>
      </c>
      <c r="T7" s="4">
        <f t="shared" si="0"/>
        <v>7.5</v>
      </c>
      <c r="U7" s="10">
        <f t="shared" si="1"/>
        <v>12.022057142857143</v>
      </c>
      <c r="V7" s="1">
        <f>Y1*U7</f>
        <v>601.10285714285715</v>
      </c>
      <c r="W7" s="1">
        <v>50</v>
      </c>
    </row>
    <row r="8" spans="1:27" x14ac:dyDescent="0.3">
      <c r="A8" s="1" t="s">
        <v>16</v>
      </c>
      <c r="B8" s="1" t="s">
        <v>35</v>
      </c>
      <c r="C8" s="2">
        <v>1.65</v>
      </c>
      <c r="D8" s="1">
        <v>1.5</v>
      </c>
      <c r="E8" s="1">
        <v>1.1000000000000001</v>
      </c>
      <c r="F8" s="1">
        <v>1.18</v>
      </c>
      <c r="G8" s="4">
        <f t="shared" si="5"/>
        <v>3.2125499999999994</v>
      </c>
      <c r="H8" s="12"/>
      <c r="I8" s="3"/>
      <c r="J8" s="3"/>
      <c r="O8" s="1">
        <v>3</v>
      </c>
      <c r="P8" s="1">
        <v>40</v>
      </c>
      <c r="Q8" s="1" t="s">
        <v>24</v>
      </c>
      <c r="R8" s="1">
        <f>O8/P8</f>
        <v>7.4999999999999997E-2</v>
      </c>
      <c r="S8" s="1">
        <f t="shared" si="6"/>
        <v>7.4999999999999997E-2</v>
      </c>
      <c r="T8" s="4">
        <f t="shared" si="0"/>
        <v>3.75</v>
      </c>
      <c r="U8" s="10">
        <f t="shared" si="1"/>
        <v>6.9625499999999994</v>
      </c>
      <c r="V8" s="1">
        <f>Y1*U8</f>
        <v>348.12749999999994</v>
      </c>
      <c r="W8" s="1">
        <v>50</v>
      </c>
    </row>
    <row r="9" spans="1:27" x14ac:dyDescent="0.3">
      <c r="A9" s="1" t="s">
        <v>18</v>
      </c>
      <c r="B9" s="1" t="s">
        <v>35</v>
      </c>
      <c r="C9" s="2">
        <v>1</v>
      </c>
      <c r="D9" s="1">
        <v>7</v>
      </c>
      <c r="E9" s="1">
        <v>1.5</v>
      </c>
      <c r="F9" s="1">
        <v>1.18</v>
      </c>
      <c r="G9" s="4">
        <f t="shared" si="5"/>
        <v>12.39</v>
      </c>
      <c r="H9" s="12">
        <v>0.05</v>
      </c>
      <c r="I9" s="3">
        <v>0.9</v>
      </c>
      <c r="J9" s="3"/>
      <c r="O9" s="1">
        <v>3</v>
      </c>
      <c r="P9" s="1">
        <v>30</v>
      </c>
      <c r="Q9" s="1" t="s">
        <v>6</v>
      </c>
      <c r="R9" s="1">
        <f t="shared" ref="R9:R14" si="7">O9/P9</f>
        <v>0.1</v>
      </c>
      <c r="S9" s="1">
        <f t="shared" si="6"/>
        <v>0.1</v>
      </c>
      <c r="T9" s="4">
        <f t="shared" si="0"/>
        <v>5</v>
      </c>
      <c r="U9" s="10">
        <f t="shared" si="1"/>
        <v>18.34</v>
      </c>
      <c r="V9" s="1">
        <f>Y1*U9</f>
        <v>917</v>
      </c>
      <c r="W9" s="1">
        <v>50</v>
      </c>
    </row>
    <row r="10" spans="1:27" x14ac:dyDescent="0.3">
      <c r="A10" s="1" t="s">
        <v>58</v>
      </c>
      <c r="B10" s="1" t="s">
        <v>35</v>
      </c>
      <c r="C10" s="2">
        <f>1/0.7*0.08*0.06</f>
        <v>6.8571428571428577E-3</v>
      </c>
      <c r="D10" s="1">
        <v>400</v>
      </c>
      <c r="E10" s="1">
        <v>1.1000000000000001</v>
      </c>
      <c r="F10" s="1">
        <v>1.18</v>
      </c>
      <c r="G10" s="4">
        <f t="shared" si="5"/>
        <v>3.560228571428572</v>
      </c>
      <c r="H10" s="12">
        <v>0.3</v>
      </c>
      <c r="I10" s="3"/>
      <c r="J10" s="3"/>
      <c r="O10" s="1">
        <v>3</v>
      </c>
      <c r="P10" s="1">
        <v>19</v>
      </c>
      <c r="Q10" s="1" t="s">
        <v>6</v>
      </c>
      <c r="R10" s="1">
        <f t="shared" si="7"/>
        <v>0.15789473684210525</v>
      </c>
      <c r="S10" s="1">
        <f t="shared" si="6"/>
        <v>0.15789473684210525</v>
      </c>
      <c r="T10" s="4">
        <f t="shared" si="0"/>
        <v>7.8947368421052628</v>
      </c>
      <c r="U10" s="10">
        <f t="shared" si="1"/>
        <v>11.754965413533835</v>
      </c>
      <c r="V10" s="1">
        <f>Y1*U10</f>
        <v>587.74827067669173</v>
      </c>
      <c r="W10" s="1">
        <v>50</v>
      </c>
    </row>
    <row r="11" spans="1:27" hidden="1" x14ac:dyDescent="0.3">
      <c r="A11" s="1" t="s">
        <v>12</v>
      </c>
      <c r="B11" s="1" t="s">
        <v>51</v>
      </c>
      <c r="C11" s="2">
        <v>1</v>
      </c>
      <c r="D11" s="1">
        <v>12</v>
      </c>
      <c r="E11" s="1">
        <v>1.1200000000000001</v>
      </c>
      <c r="F11" s="1">
        <v>1.18</v>
      </c>
      <c r="G11" s="4">
        <f t="shared" si="5"/>
        <v>15.859200000000001</v>
      </c>
      <c r="H11" s="12">
        <v>0.15</v>
      </c>
      <c r="I11" s="3"/>
      <c r="J11" s="3"/>
      <c r="O11" s="1">
        <v>3</v>
      </c>
      <c r="P11" s="1">
        <v>20</v>
      </c>
      <c r="Q11" s="1" t="s">
        <v>6</v>
      </c>
      <c r="R11" s="1">
        <f t="shared" si="7"/>
        <v>0.15</v>
      </c>
      <c r="S11" s="1">
        <f t="shared" si="6"/>
        <v>0.15</v>
      </c>
      <c r="T11" s="4">
        <f t="shared" si="0"/>
        <v>7.5</v>
      </c>
      <c r="U11" s="10">
        <f t="shared" si="1"/>
        <v>23.5092</v>
      </c>
      <c r="V11" s="1">
        <f>Y1*U11</f>
        <v>1175.46</v>
      </c>
      <c r="W11" s="1">
        <v>50</v>
      </c>
    </row>
    <row r="12" spans="1:27" hidden="1" x14ac:dyDescent="0.3">
      <c r="A12" s="1" t="s">
        <v>13</v>
      </c>
      <c r="B12" s="1" t="s">
        <v>52</v>
      </c>
      <c r="C12" s="2">
        <v>1</v>
      </c>
      <c r="D12" s="1">
        <v>5.46</v>
      </c>
      <c r="E12" s="1">
        <v>0.9</v>
      </c>
      <c r="F12" s="1">
        <v>1.18</v>
      </c>
      <c r="G12" s="4">
        <f t="shared" si="5"/>
        <v>5.7985199999999999</v>
      </c>
      <c r="H12" s="12"/>
      <c r="I12" s="3"/>
      <c r="J12" s="3"/>
      <c r="O12" s="1">
        <v>3</v>
      </c>
      <c r="P12" s="1">
        <v>18</v>
      </c>
      <c r="Q12" s="1" t="s">
        <v>6</v>
      </c>
      <c r="R12" s="1">
        <f t="shared" si="7"/>
        <v>0.16666666666666666</v>
      </c>
      <c r="S12" s="1">
        <f t="shared" si="6"/>
        <v>0.16666666666666666</v>
      </c>
      <c r="T12" s="4">
        <f t="shared" si="0"/>
        <v>8.3333333333333321</v>
      </c>
      <c r="U12" s="10">
        <f t="shared" si="1"/>
        <v>14.131853333333332</v>
      </c>
      <c r="V12" s="1">
        <f>Y1*U12</f>
        <v>706.59266666666656</v>
      </c>
      <c r="W12" s="1">
        <v>50</v>
      </c>
    </row>
    <row r="13" spans="1:27" x14ac:dyDescent="0.3">
      <c r="A13" s="1" t="s">
        <v>59</v>
      </c>
      <c r="B13" s="1" t="s">
        <v>35</v>
      </c>
      <c r="C13" s="2">
        <v>1</v>
      </c>
      <c r="D13" s="1">
        <v>14</v>
      </c>
      <c r="E13" s="1">
        <v>1.1499999999999999</v>
      </c>
      <c r="F13" s="1">
        <v>1.18</v>
      </c>
      <c r="G13" s="4">
        <f t="shared" si="5"/>
        <v>18.997999999999998</v>
      </c>
      <c r="H13" s="12">
        <v>0.15</v>
      </c>
      <c r="I13" s="3"/>
      <c r="J13" s="3"/>
      <c r="O13" s="1">
        <v>3</v>
      </c>
      <c r="P13" s="1">
        <v>12</v>
      </c>
      <c r="Q13" s="1" t="s">
        <v>6</v>
      </c>
      <c r="R13" s="1">
        <f t="shared" si="7"/>
        <v>0.25</v>
      </c>
      <c r="S13" s="1">
        <f t="shared" si="6"/>
        <v>0.25</v>
      </c>
      <c r="T13" s="4">
        <f t="shared" si="0"/>
        <v>12.5</v>
      </c>
      <c r="U13" s="10">
        <f t="shared" si="1"/>
        <v>31.647999999999996</v>
      </c>
      <c r="V13" s="1">
        <f>Y1*U13</f>
        <v>1582.3999999999999</v>
      </c>
      <c r="W13" s="1">
        <v>50</v>
      </c>
    </row>
    <row r="14" spans="1:27" hidden="1" x14ac:dyDescent="0.3">
      <c r="A14" s="1" t="s">
        <v>14</v>
      </c>
      <c r="B14" s="1" t="s">
        <v>53</v>
      </c>
      <c r="C14" s="2">
        <v>1</v>
      </c>
      <c r="D14" s="1">
        <f>6.93/0.2*0.24</f>
        <v>8.3159999999999989</v>
      </c>
      <c r="E14" s="1">
        <v>0.9</v>
      </c>
      <c r="F14" s="1">
        <v>1.18</v>
      </c>
      <c r="G14" s="4">
        <f t="shared" si="5"/>
        <v>8.8315919999999988</v>
      </c>
      <c r="H14" s="12"/>
      <c r="I14" s="3"/>
      <c r="J14" s="3"/>
      <c r="O14" s="1">
        <v>3</v>
      </c>
      <c r="P14" s="1">
        <v>18</v>
      </c>
      <c r="Q14" s="1" t="s">
        <v>6</v>
      </c>
      <c r="R14" s="1">
        <f t="shared" si="7"/>
        <v>0.16666666666666666</v>
      </c>
      <c r="S14" s="1">
        <f t="shared" si="6"/>
        <v>0.16666666666666666</v>
      </c>
      <c r="T14" s="4">
        <f t="shared" si="0"/>
        <v>8.3333333333333321</v>
      </c>
      <c r="U14" s="10">
        <f t="shared" si="1"/>
        <v>17.164925333333329</v>
      </c>
      <c r="V14" s="1">
        <f>Y1*U14</f>
        <v>858.24626666666643</v>
      </c>
      <c r="W14" s="1">
        <v>50</v>
      </c>
    </row>
    <row r="15" spans="1:27" x14ac:dyDescent="0.3">
      <c r="A15" s="1" t="s">
        <v>28</v>
      </c>
      <c r="B15" s="1" t="s">
        <v>35</v>
      </c>
      <c r="C15" s="2">
        <v>1</v>
      </c>
      <c r="D15" s="1">
        <v>1</v>
      </c>
      <c r="E15" s="1">
        <v>1.05</v>
      </c>
      <c r="F15" s="1">
        <v>1.18</v>
      </c>
      <c r="G15" s="4">
        <f t="shared" si="2"/>
        <v>1.2389999999999999</v>
      </c>
      <c r="H15" s="12"/>
      <c r="I15" s="3"/>
      <c r="J15" s="3"/>
      <c r="O15" s="1">
        <v>2</v>
      </c>
      <c r="P15" s="1">
        <v>200</v>
      </c>
      <c r="Q15" s="1" t="s">
        <v>6</v>
      </c>
      <c r="R15" s="1">
        <f t="shared" ref="R15:R16" si="8">O15/P15</f>
        <v>0.01</v>
      </c>
      <c r="S15" s="1">
        <f t="shared" si="4"/>
        <v>0.01</v>
      </c>
      <c r="T15" s="4">
        <f t="shared" si="0"/>
        <v>0.5</v>
      </c>
      <c r="U15" s="10">
        <f t="shared" si="1"/>
        <v>1.7389999999999999</v>
      </c>
      <c r="V15" s="1">
        <f>Y1*U15</f>
        <v>86.949999999999989</v>
      </c>
      <c r="W15" s="1">
        <v>50</v>
      </c>
      <c r="Z15" s="1">
        <v>210</v>
      </c>
      <c r="AA15" s="1" t="s">
        <v>48</v>
      </c>
    </row>
    <row r="16" spans="1:27" x14ac:dyDescent="0.3">
      <c r="A16" s="1" t="s">
        <v>29</v>
      </c>
      <c r="B16" s="1" t="s">
        <v>35</v>
      </c>
      <c r="C16" s="2">
        <f>60/215</f>
        <v>0.27906976744186046</v>
      </c>
      <c r="D16" s="1">
        <v>1.25</v>
      </c>
      <c r="E16" s="1">
        <v>1</v>
      </c>
      <c r="F16" s="1">
        <v>1.3</v>
      </c>
      <c r="G16" s="4">
        <f t="shared" si="2"/>
        <v>0.45348837209302328</v>
      </c>
      <c r="H16" s="12"/>
      <c r="I16" s="3"/>
      <c r="J16" s="3"/>
      <c r="O16" s="1">
        <v>1</v>
      </c>
      <c r="P16" s="1">
        <v>100</v>
      </c>
      <c r="Q16" s="1" t="s">
        <v>27</v>
      </c>
      <c r="R16" s="1">
        <f t="shared" si="8"/>
        <v>0.01</v>
      </c>
      <c r="S16" s="1">
        <f t="shared" si="4"/>
        <v>0.01</v>
      </c>
      <c r="T16" s="4">
        <f t="shared" si="0"/>
        <v>0.5</v>
      </c>
      <c r="U16" s="10">
        <f t="shared" si="1"/>
        <v>0.95348837209302328</v>
      </c>
      <c r="V16" s="1">
        <f>Y1*U16</f>
        <v>47.674418604651166</v>
      </c>
      <c r="W16" s="1">
        <v>50</v>
      </c>
    </row>
    <row r="17" spans="1:26" x14ac:dyDescent="0.3">
      <c r="A17" s="1" t="s">
        <v>30</v>
      </c>
      <c r="B17" s="1" t="s">
        <v>35</v>
      </c>
      <c r="G17" s="4">
        <f t="shared" si="2"/>
        <v>0</v>
      </c>
      <c r="H17" s="12">
        <v>2.9</v>
      </c>
      <c r="I17" s="3"/>
      <c r="J17" s="3"/>
      <c r="S17" s="1">
        <f t="shared" si="4"/>
        <v>0</v>
      </c>
      <c r="T17" s="4">
        <f t="shared" si="0"/>
        <v>0</v>
      </c>
      <c r="U17" s="10">
        <f t="shared" si="1"/>
        <v>2.9</v>
      </c>
      <c r="V17" s="1">
        <f>Y1*U17</f>
        <v>145</v>
      </c>
      <c r="W17" s="1">
        <v>50</v>
      </c>
    </row>
    <row r="18" spans="1:26" x14ac:dyDescent="0.3">
      <c r="A18" s="1" t="s">
        <v>31</v>
      </c>
      <c r="B18" s="1" t="s">
        <v>35</v>
      </c>
      <c r="G18" s="4">
        <f t="shared" si="2"/>
        <v>0</v>
      </c>
      <c r="H18" s="12">
        <v>1.4</v>
      </c>
      <c r="I18" s="3"/>
      <c r="J18" s="3"/>
      <c r="S18" s="1">
        <f t="shared" si="4"/>
        <v>0</v>
      </c>
      <c r="T18" s="4">
        <f t="shared" si="0"/>
        <v>0</v>
      </c>
      <c r="U18" s="10">
        <f t="shared" si="1"/>
        <v>1.4</v>
      </c>
      <c r="V18" s="1">
        <f>Y1*U18</f>
        <v>70</v>
      </c>
      <c r="W18" s="1">
        <v>50</v>
      </c>
    </row>
    <row r="19" spans="1:26" x14ac:dyDescent="0.3">
      <c r="A19" s="1" t="s">
        <v>34</v>
      </c>
      <c r="B19" s="1" t="s">
        <v>35</v>
      </c>
      <c r="C19" s="2">
        <v>0.06</v>
      </c>
      <c r="G19" s="4">
        <f t="shared" si="2"/>
        <v>0</v>
      </c>
      <c r="H19" s="12"/>
      <c r="I19" s="3">
        <v>14.5</v>
      </c>
      <c r="J19" s="3"/>
      <c r="S19" s="1">
        <f t="shared" si="4"/>
        <v>0</v>
      </c>
      <c r="T19" s="4">
        <f t="shared" si="0"/>
        <v>0</v>
      </c>
      <c r="U19" s="10">
        <f t="shared" si="1"/>
        <v>14.5</v>
      </c>
      <c r="V19" s="1">
        <f>Y1*U19</f>
        <v>725</v>
      </c>
      <c r="W19" s="1">
        <v>50</v>
      </c>
    </row>
    <row r="20" spans="1:26" x14ac:dyDescent="0.3">
      <c r="A20" s="1" t="s">
        <v>32</v>
      </c>
      <c r="B20" s="1" t="s">
        <v>35</v>
      </c>
      <c r="C20" s="2">
        <v>0.06</v>
      </c>
      <c r="D20" s="1">
        <v>650</v>
      </c>
      <c r="E20" s="1">
        <v>1.1200000000000001</v>
      </c>
      <c r="F20" s="1">
        <v>1.18</v>
      </c>
      <c r="G20" s="4">
        <f t="shared" si="2"/>
        <v>51.542400000000001</v>
      </c>
      <c r="H20" s="12"/>
      <c r="I20" s="3"/>
      <c r="J20" s="3"/>
      <c r="S20" s="1">
        <f t="shared" si="4"/>
        <v>0</v>
      </c>
      <c r="T20" s="4">
        <f t="shared" si="0"/>
        <v>0</v>
      </c>
      <c r="U20" s="10">
        <f t="shared" si="1"/>
        <v>51.542400000000001</v>
      </c>
      <c r="V20" s="1">
        <f>Y1*U20</f>
        <v>2577.12</v>
      </c>
      <c r="W20" s="1">
        <v>50</v>
      </c>
    </row>
    <row r="21" spans="1:26" x14ac:dyDescent="0.3">
      <c r="A21" s="1" t="s">
        <v>33</v>
      </c>
      <c r="B21" s="1" t="s">
        <v>35</v>
      </c>
      <c r="C21" s="2">
        <v>1</v>
      </c>
      <c r="G21" s="4"/>
      <c r="H21" s="12"/>
      <c r="I21" s="3"/>
      <c r="J21" s="3"/>
      <c r="O21" s="1">
        <v>3</v>
      </c>
      <c r="P21" s="1">
        <v>8.8000000000000007</v>
      </c>
      <c r="Q21" s="1" t="s">
        <v>6</v>
      </c>
      <c r="R21" s="1">
        <f>O21/P21</f>
        <v>0.34090909090909088</v>
      </c>
      <c r="S21" s="1">
        <f t="shared" si="4"/>
        <v>0.34090909090909088</v>
      </c>
      <c r="T21" s="4">
        <f t="shared" si="0"/>
        <v>17.045454545454543</v>
      </c>
      <c r="U21" s="10">
        <f t="shared" si="1"/>
        <v>17.045454545454543</v>
      </c>
      <c r="V21" s="1">
        <f>Y1*U21</f>
        <v>852.27272727272714</v>
      </c>
      <c r="W21" s="1">
        <v>50</v>
      </c>
      <c r="Y21" s="1">
        <f>(V4+V5+V7+V8+V9+V10+V13+V15+V16+V17+V18+V19+V20+V21)/Y1</f>
        <v>199.23262975965284</v>
      </c>
      <c r="Z21" s="1" t="s">
        <v>97</v>
      </c>
    </row>
    <row r="22" spans="1:26" x14ac:dyDescent="0.3">
      <c r="W22" s="1">
        <v>50</v>
      </c>
    </row>
    <row r="23" spans="1:26" x14ac:dyDescent="0.3">
      <c r="A23" s="1" t="s">
        <v>44</v>
      </c>
      <c r="B23" s="1" t="s">
        <v>24</v>
      </c>
      <c r="C23" s="2">
        <f>0.25*1</f>
        <v>0.25</v>
      </c>
      <c r="D23" s="1">
        <v>22</v>
      </c>
      <c r="E23" s="1">
        <v>1.1000000000000001</v>
      </c>
      <c r="F23" s="1">
        <v>1.18</v>
      </c>
      <c r="G23" s="4">
        <f t="shared" ref="G23:G30" si="9">C23*E23*F23*D23</f>
        <v>7.1390000000000002</v>
      </c>
      <c r="H23" s="12">
        <v>0.4</v>
      </c>
      <c r="I23" s="3"/>
      <c r="J23" s="3"/>
      <c r="K23" s="1">
        <v>2</v>
      </c>
      <c r="L23" s="1">
        <v>20</v>
      </c>
      <c r="M23" s="1" t="s">
        <v>11</v>
      </c>
      <c r="N23" s="1">
        <f>K23/L23</f>
        <v>0.1</v>
      </c>
      <c r="O23" s="1">
        <v>2</v>
      </c>
      <c r="P23" s="1">
        <v>3.8</v>
      </c>
      <c r="Q23" s="1" t="s">
        <v>11</v>
      </c>
      <c r="R23" s="1">
        <f t="shared" ref="R23:R30" si="10">O23/P23</f>
        <v>0.52631578947368418</v>
      </c>
      <c r="S23" s="1">
        <f t="shared" ref="S23:S30" si="11">R23+N23</f>
        <v>0.62631578947368416</v>
      </c>
      <c r="T23" s="4">
        <f t="shared" ref="T23:T30" si="12">S23*W23</f>
        <v>31.315789473684209</v>
      </c>
      <c r="U23" s="10">
        <f t="shared" ref="U23:U28" si="13">G23+H23+T23+I23</f>
        <v>38.854789473684207</v>
      </c>
      <c r="V23" s="1">
        <f>Y2*U23</f>
        <v>1056.8502736842104</v>
      </c>
      <c r="W23" s="1">
        <v>50</v>
      </c>
    </row>
    <row r="24" spans="1:26" ht="12.95" customHeight="1" x14ac:dyDescent="0.3">
      <c r="A24" s="1" t="s">
        <v>45</v>
      </c>
      <c r="B24" s="1" t="s">
        <v>24</v>
      </c>
      <c r="C24" s="2">
        <v>0.25</v>
      </c>
      <c r="D24" s="1">
        <v>20</v>
      </c>
      <c r="E24" s="1">
        <v>1.1000000000000001</v>
      </c>
      <c r="F24" s="1">
        <v>1.18</v>
      </c>
      <c r="G24" s="4">
        <f t="shared" si="9"/>
        <v>6.49</v>
      </c>
      <c r="H24" s="12">
        <v>0.4</v>
      </c>
      <c r="I24" s="3"/>
      <c r="J24" s="3"/>
      <c r="K24" s="1">
        <v>2</v>
      </c>
      <c r="L24" s="1">
        <v>20</v>
      </c>
      <c r="M24" s="1" t="s">
        <v>11</v>
      </c>
      <c r="N24" s="1">
        <f>K24/L24</f>
        <v>0.1</v>
      </c>
      <c r="O24" s="1">
        <v>2</v>
      </c>
      <c r="P24" s="1">
        <v>3.2</v>
      </c>
      <c r="Q24" s="1" t="s">
        <v>11</v>
      </c>
      <c r="R24" s="1">
        <f t="shared" si="10"/>
        <v>0.625</v>
      </c>
      <c r="S24" s="1">
        <f t="shared" si="11"/>
        <v>0.72499999999999998</v>
      </c>
      <c r="T24" s="4">
        <f t="shared" si="12"/>
        <v>37.699999999999996</v>
      </c>
      <c r="U24" s="10">
        <f t="shared" si="13"/>
        <v>44.589999999999996</v>
      </c>
      <c r="V24" s="1">
        <f>Y2*U24</f>
        <v>1212.848</v>
      </c>
      <c r="W24" s="1">
        <v>52</v>
      </c>
    </row>
    <row r="25" spans="1:26" x14ac:dyDescent="0.3">
      <c r="A25" s="1" t="s">
        <v>20</v>
      </c>
      <c r="B25" s="1" t="s">
        <v>24</v>
      </c>
      <c r="C25" s="2">
        <v>0.15</v>
      </c>
      <c r="D25" s="1">
        <v>10</v>
      </c>
      <c r="E25" s="1">
        <v>1.1499999999999999</v>
      </c>
      <c r="F25" s="1">
        <v>2.1800000000000002</v>
      </c>
      <c r="G25" s="4">
        <f t="shared" si="9"/>
        <v>3.7605</v>
      </c>
      <c r="H25" s="12">
        <v>0.1</v>
      </c>
      <c r="I25" s="3"/>
      <c r="J25" s="3"/>
      <c r="K25" s="1">
        <v>2</v>
      </c>
      <c r="L25" s="1">
        <v>36</v>
      </c>
      <c r="M25" s="1" t="s">
        <v>11</v>
      </c>
      <c r="N25" s="1">
        <f>K25/L25</f>
        <v>5.5555555555555552E-2</v>
      </c>
      <c r="O25" s="1">
        <v>2</v>
      </c>
      <c r="P25" s="1">
        <v>36</v>
      </c>
      <c r="Q25" s="1" t="s">
        <v>11</v>
      </c>
      <c r="R25" s="1">
        <f t="shared" si="10"/>
        <v>5.5555555555555552E-2</v>
      </c>
      <c r="S25" s="1">
        <f t="shared" si="11"/>
        <v>0.1111111111111111</v>
      </c>
      <c r="T25" s="4">
        <f t="shared" si="12"/>
        <v>5.5555555555555554</v>
      </c>
      <c r="U25" s="10">
        <f t="shared" si="13"/>
        <v>9.4160555555555554</v>
      </c>
      <c r="V25" s="1">
        <f>Y3*U25</f>
        <v>145.94886111111111</v>
      </c>
      <c r="W25" s="1">
        <v>50</v>
      </c>
    </row>
    <row r="26" spans="1:26" x14ac:dyDescent="0.3">
      <c r="A26" s="1" t="s">
        <v>21</v>
      </c>
      <c r="B26" s="1" t="s">
        <v>24</v>
      </c>
      <c r="C26" s="2">
        <v>1</v>
      </c>
      <c r="D26" s="1">
        <v>9.5</v>
      </c>
      <c r="E26" s="1">
        <v>1.1499999999999999</v>
      </c>
      <c r="F26" s="1">
        <v>2.1800000000000002</v>
      </c>
      <c r="G26" s="4">
        <f t="shared" si="9"/>
        <v>23.816500000000001</v>
      </c>
      <c r="H26" s="12">
        <v>0.1</v>
      </c>
      <c r="I26" s="3"/>
      <c r="J26" s="3"/>
      <c r="K26" s="1">
        <v>2</v>
      </c>
      <c r="L26" s="1">
        <v>36</v>
      </c>
      <c r="M26" s="1" t="s">
        <v>11</v>
      </c>
      <c r="N26" s="1">
        <f t="shared" ref="N26" si="14">K26/L26</f>
        <v>5.5555555555555552E-2</v>
      </c>
      <c r="O26" s="1">
        <v>2</v>
      </c>
      <c r="P26" s="1">
        <v>36</v>
      </c>
      <c r="Q26" s="1" t="s">
        <v>11</v>
      </c>
      <c r="R26" s="1">
        <f t="shared" si="10"/>
        <v>5.5555555555555552E-2</v>
      </c>
      <c r="S26" s="1">
        <f t="shared" si="11"/>
        <v>0.1111111111111111</v>
      </c>
      <c r="T26" s="4">
        <f t="shared" si="12"/>
        <v>5.5555555555555554</v>
      </c>
      <c r="U26" s="10">
        <f t="shared" si="13"/>
        <v>29.472055555555556</v>
      </c>
      <c r="V26" s="1">
        <f>Y3*U26</f>
        <v>456.81686111111111</v>
      </c>
      <c r="W26" s="1">
        <v>50</v>
      </c>
    </row>
    <row r="27" spans="1:26" x14ac:dyDescent="0.3">
      <c r="A27" s="1" t="s">
        <v>23</v>
      </c>
      <c r="B27" s="1" t="s">
        <v>24</v>
      </c>
      <c r="C27" s="2">
        <v>4</v>
      </c>
      <c r="D27" s="1">
        <v>0.55000000000000004</v>
      </c>
      <c r="E27" s="1">
        <v>1.1000000000000001</v>
      </c>
      <c r="F27" s="1">
        <v>1.18</v>
      </c>
      <c r="G27" s="4">
        <f t="shared" si="9"/>
        <v>2.8556000000000004</v>
      </c>
      <c r="H27" s="12"/>
      <c r="I27" s="3"/>
      <c r="J27" s="3"/>
      <c r="O27" s="1">
        <v>2</v>
      </c>
      <c r="P27" s="1">
        <v>15</v>
      </c>
      <c r="Q27" s="1" t="s">
        <v>6</v>
      </c>
      <c r="R27" s="1">
        <f t="shared" si="10"/>
        <v>0.13333333333333333</v>
      </c>
      <c r="S27" s="1">
        <f t="shared" si="11"/>
        <v>0.13333333333333333</v>
      </c>
      <c r="T27" s="4">
        <f t="shared" si="12"/>
        <v>6.666666666666667</v>
      </c>
      <c r="U27" s="10">
        <f t="shared" si="13"/>
        <v>9.5222666666666669</v>
      </c>
      <c r="V27" s="1">
        <f>Y6*U27</f>
        <v>0</v>
      </c>
      <c r="W27" s="1">
        <v>50</v>
      </c>
    </row>
    <row r="28" spans="1:26" x14ac:dyDescent="0.3">
      <c r="A28" s="1" t="s">
        <v>36</v>
      </c>
      <c r="B28" s="1" t="s">
        <v>24</v>
      </c>
      <c r="C28" s="2">
        <v>0.3</v>
      </c>
      <c r="D28" s="1">
        <v>5.0999999999999996</v>
      </c>
      <c r="E28" s="1">
        <v>1.1200000000000001</v>
      </c>
      <c r="F28" s="1">
        <v>1.18</v>
      </c>
      <c r="G28" s="4">
        <f t="shared" si="9"/>
        <v>2.0220479999999998</v>
      </c>
      <c r="H28" s="12">
        <v>0.1</v>
      </c>
      <c r="I28" s="3"/>
      <c r="J28" s="3"/>
      <c r="K28" s="1">
        <v>1</v>
      </c>
      <c r="L28" s="1">
        <v>30</v>
      </c>
      <c r="M28" s="1" t="s">
        <v>27</v>
      </c>
      <c r="N28" s="1">
        <f t="shared" ref="N28" si="15">K28/L28</f>
        <v>3.3333333333333333E-2</v>
      </c>
      <c r="O28" s="1">
        <v>2</v>
      </c>
      <c r="P28" s="1">
        <v>30</v>
      </c>
      <c r="Q28" s="1" t="s">
        <v>11</v>
      </c>
      <c r="R28" s="1">
        <f t="shared" si="10"/>
        <v>6.6666666666666666E-2</v>
      </c>
      <c r="S28" s="1">
        <f t="shared" si="11"/>
        <v>0.1</v>
      </c>
      <c r="T28" s="4">
        <f t="shared" si="12"/>
        <v>5</v>
      </c>
      <c r="U28" s="10">
        <f t="shared" si="13"/>
        <v>7.1220479999999995</v>
      </c>
      <c r="V28" s="1">
        <f>Y7*U28</f>
        <v>0</v>
      </c>
      <c r="W28" s="1">
        <v>50</v>
      </c>
    </row>
    <row r="29" spans="1:26" x14ac:dyDescent="0.3">
      <c r="A29" s="1" t="s">
        <v>56</v>
      </c>
      <c r="B29" s="1" t="s">
        <v>24</v>
      </c>
      <c r="C29" s="2">
        <v>1</v>
      </c>
      <c r="D29" s="1">
        <f>17*1.05</f>
        <v>17.850000000000001</v>
      </c>
      <c r="E29" s="1">
        <v>1.1000000000000001</v>
      </c>
      <c r="F29" s="1">
        <v>1.18</v>
      </c>
      <c r="G29" s="4">
        <f t="shared" si="9"/>
        <v>23.169300000000003</v>
      </c>
      <c r="H29" s="12">
        <v>0.2</v>
      </c>
      <c r="I29" s="3"/>
      <c r="J29" s="3"/>
      <c r="K29" s="1">
        <v>1</v>
      </c>
      <c r="L29" s="1">
        <v>3</v>
      </c>
      <c r="M29" s="1" t="s">
        <v>11</v>
      </c>
      <c r="N29" s="1">
        <f>K29/L29</f>
        <v>0.33333333333333331</v>
      </c>
      <c r="O29" s="1">
        <v>2</v>
      </c>
      <c r="P29" s="1">
        <v>40</v>
      </c>
      <c r="Q29" s="1" t="s">
        <v>11</v>
      </c>
      <c r="R29" s="1">
        <f t="shared" si="10"/>
        <v>0.05</v>
      </c>
      <c r="S29" s="1">
        <f t="shared" si="11"/>
        <v>0.3833333333333333</v>
      </c>
      <c r="T29" s="4">
        <f t="shared" si="12"/>
        <v>19.166666666666664</v>
      </c>
      <c r="U29" s="10">
        <f>G29+H29+T29+I29+U25</f>
        <v>51.952022222222226</v>
      </c>
      <c r="V29" s="1">
        <f>Y3*U29</f>
        <v>805.25634444444449</v>
      </c>
      <c r="W29" s="1">
        <v>50</v>
      </c>
    </row>
    <row r="30" spans="1:26" x14ac:dyDescent="0.3">
      <c r="A30" s="1" t="s">
        <v>57</v>
      </c>
      <c r="B30" s="1" t="s">
        <v>24</v>
      </c>
      <c r="C30" s="2">
        <v>1</v>
      </c>
      <c r="D30" s="1">
        <f>17*1.05</f>
        <v>17.850000000000001</v>
      </c>
      <c r="E30" s="1">
        <v>1.1000000000000001</v>
      </c>
      <c r="F30" s="1">
        <v>1.18</v>
      </c>
      <c r="G30" s="4">
        <f t="shared" si="9"/>
        <v>23.169300000000003</v>
      </c>
      <c r="H30" s="12">
        <v>0.2</v>
      </c>
      <c r="I30" s="3"/>
      <c r="J30" s="3"/>
      <c r="K30" s="1">
        <v>1</v>
      </c>
      <c r="L30" s="1">
        <v>2</v>
      </c>
      <c r="M30" s="1" t="s">
        <v>11</v>
      </c>
      <c r="N30" s="1">
        <f>K30/L30</f>
        <v>0.5</v>
      </c>
      <c r="O30" s="1">
        <v>2</v>
      </c>
      <c r="P30" s="1">
        <v>40</v>
      </c>
      <c r="Q30" s="1" t="s">
        <v>11</v>
      </c>
      <c r="R30" s="1">
        <f t="shared" si="10"/>
        <v>0.05</v>
      </c>
      <c r="S30" s="1">
        <f t="shared" si="11"/>
        <v>0.55000000000000004</v>
      </c>
      <c r="T30" s="4">
        <f t="shared" si="12"/>
        <v>27.500000000000004</v>
      </c>
      <c r="U30" s="10">
        <f>G30+H30+T30+I30+2*U25</f>
        <v>69.701411111111128</v>
      </c>
      <c r="V30" s="1">
        <f>Y3*U30</f>
        <v>1080.3718722222225</v>
      </c>
      <c r="W30" s="1">
        <v>50</v>
      </c>
      <c r="Y30" s="1" t="s">
        <v>68</v>
      </c>
    </row>
  </sheetData>
  <mergeCells count="3">
    <mergeCell ref="K2:M2"/>
    <mergeCell ref="O2:Q2"/>
    <mergeCell ref="P3:Q3"/>
  </mergeCells>
  <pageMargins left="0.31496062992125984" right="0.19685039370078741" top="0.19685039370078741" bottom="0.19685039370078741" header="0" footer="0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57"/>
  <sheetViews>
    <sheetView workbookViewId="0">
      <selection activeCell="P55" sqref="P55"/>
    </sheetView>
  </sheetViews>
  <sheetFormatPr baseColWidth="10" defaultRowHeight="15" x14ac:dyDescent="0.25"/>
  <sheetData>
    <row r="1" spans="1:12" x14ac:dyDescent="0.25">
      <c r="A1" s="18" t="s">
        <v>91</v>
      </c>
      <c r="L1" s="19"/>
    </row>
    <row r="2" spans="1:12" x14ac:dyDescent="0.25">
      <c r="C2" t="s">
        <v>71</v>
      </c>
      <c r="F2" s="18" t="s">
        <v>72</v>
      </c>
      <c r="G2" t="s">
        <v>73</v>
      </c>
      <c r="J2" t="s">
        <v>74</v>
      </c>
      <c r="L2" s="19" t="s">
        <v>75</v>
      </c>
    </row>
    <row r="3" spans="1:12" x14ac:dyDescent="0.25">
      <c r="B3" t="s">
        <v>92</v>
      </c>
      <c r="D3" s="21">
        <v>1</v>
      </c>
      <c r="E3" t="s">
        <v>35</v>
      </c>
      <c r="L3" s="19"/>
    </row>
    <row r="4" spans="1:12" x14ac:dyDescent="0.25">
      <c r="B4" t="s">
        <v>78</v>
      </c>
      <c r="C4">
        <v>52</v>
      </c>
      <c r="D4" s="20">
        <v>0.2</v>
      </c>
      <c r="E4" t="s">
        <v>84</v>
      </c>
      <c r="F4">
        <f>D4*D3</f>
        <v>0.2</v>
      </c>
      <c r="G4">
        <f>D3*D4*C4</f>
        <v>10.4</v>
      </c>
      <c r="L4" s="19"/>
    </row>
    <row r="5" spans="1:12" x14ac:dyDescent="0.25">
      <c r="B5" t="s">
        <v>0</v>
      </c>
      <c r="D5">
        <f>310*0.015*1.15*1.18</f>
        <v>6.3100499999999986</v>
      </c>
      <c r="E5" t="s">
        <v>82</v>
      </c>
      <c r="G5">
        <f>D3*D5</f>
        <v>6.3100499999999986</v>
      </c>
      <c r="L5" s="19"/>
    </row>
    <row r="6" spans="1:12" x14ac:dyDescent="0.25">
      <c r="B6" t="s">
        <v>80</v>
      </c>
      <c r="D6">
        <v>0.15</v>
      </c>
      <c r="E6" t="s">
        <v>82</v>
      </c>
      <c r="G6">
        <f>D4*D6</f>
        <v>0.03</v>
      </c>
      <c r="L6" s="19"/>
    </row>
    <row r="7" spans="1:12" x14ac:dyDescent="0.25">
      <c r="L7" s="19">
        <f>SUM(G4:G6)</f>
        <v>16.74005</v>
      </c>
    </row>
    <row r="8" spans="1:12" x14ac:dyDescent="0.25">
      <c r="L8" s="19"/>
    </row>
    <row r="9" spans="1:12" x14ac:dyDescent="0.25">
      <c r="L9" s="19"/>
    </row>
    <row r="10" spans="1:12" x14ac:dyDescent="0.25">
      <c r="B10" t="s">
        <v>93</v>
      </c>
      <c r="D10">
        <f>D3</f>
        <v>1</v>
      </c>
      <c r="E10" t="s">
        <v>35</v>
      </c>
      <c r="L10" s="19"/>
    </row>
    <row r="11" spans="1:12" x14ac:dyDescent="0.25">
      <c r="B11" t="s">
        <v>78</v>
      </c>
      <c r="C11">
        <v>52</v>
      </c>
      <c r="D11" s="20">
        <f>3/15</f>
        <v>0.2</v>
      </c>
      <c r="E11" t="s">
        <v>84</v>
      </c>
      <c r="F11">
        <f>D11*D10</f>
        <v>0.2</v>
      </c>
      <c r="G11">
        <f>D10*D11*C11</f>
        <v>10.4</v>
      </c>
      <c r="L11" s="19"/>
    </row>
    <row r="12" spans="1:12" x14ac:dyDescent="0.25">
      <c r="B12" t="s">
        <v>0</v>
      </c>
      <c r="D12" s="20">
        <f>15*1.15*1.18</f>
        <v>20.355</v>
      </c>
      <c r="E12" t="s">
        <v>82</v>
      </c>
      <c r="G12">
        <f>D10*D12</f>
        <v>20.355</v>
      </c>
      <c r="L12" s="19"/>
    </row>
    <row r="13" spans="1:12" x14ac:dyDescent="0.25">
      <c r="B13" t="s">
        <v>80</v>
      </c>
      <c r="D13">
        <v>0.5</v>
      </c>
      <c r="E13" t="s">
        <v>82</v>
      </c>
      <c r="G13">
        <f>D11*D13</f>
        <v>0.1</v>
      </c>
      <c r="L13" s="19"/>
    </row>
    <row r="14" spans="1:12" x14ac:dyDescent="0.25">
      <c r="L14" s="19">
        <f>SUM(G11:G13)</f>
        <v>30.855000000000004</v>
      </c>
    </row>
    <row r="15" spans="1:12" x14ac:dyDescent="0.25">
      <c r="L15" s="19"/>
    </row>
    <row r="16" spans="1:12" x14ac:dyDescent="0.25">
      <c r="B16" t="s">
        <v>94</v>
      </c>
      <c r="D16">
        <f>D3</f>
        <v>1</v>
      </c>
      <c r="E16" t="s">
        <v>35</v>
      </c>
      <c r="L16" s="19"/>
    </row>
    <row r="17" spans="2:12" x14ac:dyDescent="0.25">
      <c r="B17" t="s">
        <v>78</v>
      </c>
      <c r="C17">
        <v>52</v>
      </c>
      <c r="D17" s="20">
        <v>0.3</v>
      </c>
      <c r="E17" t="s">
        <v>84</v>
      </c>
      <c r="F17">
        <f>D17*D16</f>
        <v>0.3</v>
      </c>
      <c r="G17">
        <f>D16*D17*C17</f>
        <v>15.6</v>
      </c>
      <c r="L17" s="19"/>
    </row>
    <row r="18" spans="2:12" x14ac:dyDescent="0.25">
      <c r="B18" t="s">
        <v>0</v>
      </c>
      <c r="D18" s="20">
        <f>1/0.45*0.08*0.16*440*1.12*1.18</f>
        <v>16.540558222222224</v>
      </c>
      <c r="E18" t="s">
        <v>82</v>
      </c>
      <c r="G18" s="20">
        <f>D16*D18</f>
        <v>16.540558222222224</v>
      </c>
      <c r="L18" s="19"/>
    </row>
    <row r="19" spans="2:12" x14ac:dyDescent="0.25">
      <c r="B19" t="s">
        <v>80</v>
      </c>
      <c r="D19">
        <v>2</v>
      </c>
      <c r="E19" t="s">
        <v>82</v>
      </c>
      <c r="G19">
        <f>D17*D19</f>
        <v>0.6</v>
      </c>
      <c r="L19" s="19"/>
    </row>
    <row r="20" spans="2:12" x14ac:dyDescent="0.25">
      <c r="L20" s="19">
        <f>SUM(G17:G19)</f>
        <v>32.740558222222226</v>
      </c>
    </row>
    <row r="21" spans="2:12" x14ac:dyDescent="0.25">
      <c r="L21" s="19"/>
    </row>
    <row r="22" spans="2:12" x14ac:dyDescent="0.25">
      <c r="L22" s="19"/>
    </row>
    <row r="23" spans="2:12" x14ac:dyDescent="0.25">
      <c r="B23" t="s">
        <v>95</v>
      </c>
      <c r="D23">
        <f>D3</f>
        <v>1</v>
      </c>
      <c r="E23" t="s">
        <v>35</v>
      </c>
      <c r="L23" s="19"/>
    </row>
    <row r="24" spans="2:12" x14ac:dyDescent="0.25">
      <c r="B24" t="s">
        <v>78</v>
      </c>
      <c r="C24">
        <v>52</v>
      </c>
      <c r="D24" s="20">
        <v>0.2</v>
      </c>
      <c r="E24" t="s">
        <v>84</v>
      </c>
      <c r="F24">
        <f>D24*D23</f>
        <v>0.2</v>
      </c>
      <c r="G24">
        <f>D23*D24*C24</f>
        <v>10.4</v>
      </c>
      <c r="L24" s="19"/>
    </row>
    <row r="25" spans="2:12" x14ac:dyDescent="0.25">
      <c r="B25" t="s">
        <v>0</v>
      </c>
      <c r="D25" s="20">
        <f>1.18*13*0.9</f>
        <v>13.806000000000001</v>
      </c>
      <c r="E25" t="s">
        <v>82</v>
      </c>
      <c r="G25">
        <f>D23*D25</f>
        <v>13.806000000000001</v>
      </c>
      <c r="L25" s="19"/>
    </row>
    <row r="26" spans="2:12" x14ac:dyDescent="0.25">
      <c r="B26" t="s">
        <v>80</v>
      </c>
      <c r="D26">
        <v>0.15</v>
      </c>
      <c r="E26" t="s">
        <v>82</v>
      </c>
      <c r="G26">
        <f>D24*D26</f>
        <v>0.03</v>
      </c>
      <c r="L26" s="19"/>
    </row>
    <row r="27" spans="2:12" x14ac:dyDescent="0.25">
      <c r="L27" s="19">
        <f>SUM(G24:G26)</f>
        <v>24.236000000000004</v>
      </c>
    </row>
    <row r="28" spans="2:12" x14ac:dyDescent="0.25">
      <c r="L28" s="19"/>
    </row>
    <row r="29" spans="2:12" x14ac:dyDescent="0.25">
      <c r="L29" s="19"/>
    </row>
    <row r="30" spans="2:12" x14ac:dyDescent="0.25">
      <c r="B30" t="s">
        <v>96</v>
      </c>
      <c r="D30">
        <f>D3</f>
        <v>1</v>
      </c>
      <c r="E30" t="s">
        <v>35</v>
      </c>
      <c r="L30" s="19"/>
    </row>
    <row r="31" spans="2:12" x14ac:dyDescent="0.25">
      <c r="B31" t="s">
        <v>78</v>
      </c>
      <c r="C31">
        <v>52</v>
      </c>
      <c r="D31" s="20">
        <v>0.1</v>
      </c>
      <c r="E31" t="s">
        <v>84</v>
      </c>
      <c r="F31">
        <f>D31*D30</f>
        <v>0.1</v>
      </c>
      <c r="G31">
        <f>D30*D31*C31</f>
        <v>5.2</v>
      </c>
      <c r="L31" s="19"/>
    </row>
    <row r="32" spans="2:12" x14ac:dyDescent="0.25">
      <c r="B32" t="s">
        <v>80</v>
      </c>
      <c r="D32">
        <v>2</v>
      </c>
      <c r="E32" t="s">
        <v>82</v>
      </c>
      <c r="G32">
        <v>2</v>
      </c>
      <c r="L32" s="19"/>
    </row>
    <row r="33" spans="1:14" x14ac:dyDescent="0.25">
      <c r="L33" s="19">
        <f>SUM(G31:G32)</f>
        <v>7.2</v>
      </c>
    </row>
    <row r="34" spans="1:14" x14ac:dyDescent="0.25">
      <c r="L34" s="19"/>
    </row>
    <row r="35" spans="1:14" x14ac:dyDescent="0.25">
      <c r="L35" s="19"/>
    </row>
    <row r="36" spans="1:14" x14ac:dyDescent="0.25">
      <c r="J36" s="20"/>
      <c r="L36" s="19"/>
    </row>
    <row r="37" spans="1:14" x14ac:dyDescent="0.25">
      <c r="B37" t="s">
        <v>33</v>
      </c>
      <c r="D37">
        <f>D3</f>
        <v>1</v>
      </c>
      <c r="E37" t="s">
        <v>35</v>
      </c>
      <c r="L37" s="19"/>
    </row>
    <row r="38" spans="1:14" x14ac:dyDescent="0.25">
      <c r="B38" t="s">
        <v>78</v>
      </c>
      <c r="C38">
        <v>52</v>
      </c>
      <c r="D38">
        <v>0.4</v>
      </c>
      <c r="E38" t="s">
        <v>84</v>
      </c>
      <c r="F38">
        <f>D37*D38</f>
        <v>0.4</v>
      </c>
      <c r="G38">
        <f>D37*D38*C38</f>
        <v>20.8</v>
      </c>
      <c r="L38" s="19"/>
    </row>
    <row r="39" spans="1:14" x14ac:dyDescent="0.25">
      <c r="B39" t="s">
        <v>85</v>
      </c>
      <c r="D39">
        <v>1.6</v>
      </c>
      <c r="E39" t="s">
        <v>82</v>
      </c>
      <c r="G39">
        <f>D39*D37</f>
        <v>1.6</v>
      </c>
      <c r="L39" s="19"/>
    </row>
    <row r="40" spans="1:14" x14ac:dyDescent="0.25">
      <c r="D40" s="20"/>
      <c r="G40" s="20"/>
      <c r="L40" s="19"/>
    </row>
    <row r="41" spans="1:14" x14ac:dyDescent="0.25">
      <c r="J41" s="20">
        <f>SUM(G38:G40)/D37</f>
        <v>22.400000000000002</v>
      </c>
      <c r="K41" t="s">
        <v>82</v>
      </c>
      <c r="L41" s="19">
        <f>D37*J41</f>
        <v>22.400000000000002</v>
      </c>
      <c r="M41" t="s">
        <v>83</v>
      </c>
    </row>
    <row r="42" spans="1:14" x14ac:dyDescent="0.25">
      <c r="L42" s="19"/>
      <c r="N42" t="s">
        <v>82</v>
      </c>
    </row>
    <row r="43" spans="1:14" x14ac:dyDescent="0.25">
      <c r="A43" s="22"/>
      <c r="B43" s="23"/>
      <c r="C43" s="23"/>
      <c r="D43" s="23"/>
      <c r="E43" s="23"/>
      <c r="F43" s="24">
        <f>SUM(F4:F42)</f>
        <v>1.4</v>
      </c>
      <c r="G43" s="23">
        <f>SUM(G4:G42)</f>
        <v>134.17160822222223</v>
      </c>
      <c r="H43" s="23"/>
      <c r="I43" s="23"/>
      <c r="J43" s="23"/>
      <c r="K43" s="23"/>
      <c r="L43" s="25">
        <f>SUM(L3:L42)</f>
        <v>134.17160822222223</v>
      </c>
      <c r="M43" s="26" t="s">
        <v>83</v>
      </c>
      <c r="N43" s="20">
        <f>L43/D37</f>
        <v>134.17160822222223</v>
      </c>
    </row>
    <row r="46" spans="1:14" x14ac:dyDescent="0.25">
      <c r="E46" t="s">
        <v>39</v>
      </c>
      <c r="H46" t="s">
        <v>84</v>
      </c>
      <c r="M46" t="s">
        <v>3</v>
      </c>
    </row>
    <row r="47" spans="1:14" ht="15.75" x14ac:dyDescent="0.3">
      <c r="E47" s="1">
        <v>3</v>
      </c>
      <c r="F47" s="1">
        <v>6</v>
      </c>
      <c r="G47" s="1" t="s">
        <v>6</v>
      </c>
      <c r="H47" s="1">
        <f>E47/F47</f>
        <v>0.5</v>
      </c>
      <c r="I47" s="1">
        <f>H47+'UNGED. ELEMENTE'!N32</f>
        <v>0.5</v>
      </c>
      <c r="J47" s="4">
        <f>I47*M47</f>
        <v>21.5</v>
      </c>
      <c r="K47" s="1" t="s">
        <v>82</v>
      </c>
      <c r="L47" s="1"/>
      <c r="M47" s="1">
        <v>43</v>
      </c>
    </row>
    <row r="49" spans="1:23" ht="15.75" x14ac:dyDescent="0.3">
      <c r="A49" s="1"/>
      <c r="B49" s="1"/>
      <c r="C49" s="2" t="s">
        <v>0</v>
      </c>
      <c r="D49" s="1" t="s">
        <v>5</v>
      </c>
      <c r="E49" s="1" t="s">
        <v>37</v>
      </c>
      <c r="F49" s="1" t="s">
        <v>1</v>
      </c>
      <c r="G49" s="9" t="s">
        <v>38</v>
      </c>
      <c r="H49" s="13" t="s">
        <v>2</v>
      </c>
      <c r="I49" s="6" t="s">
        <v>19</v>
      </c>
      <c r="J49" s="6"/>
      <c r="K49" s="142" t="s">
        <v>10</v>
      </c>
      <c r="L49" s="142"/>
      <c r="M49" s="142"/>
      <c r="N49" s="7"/>
      <c r="O49" s="142" t="s">
        <v>9</v>
      </c>
      <c r="P49" s="142"/>
      <c r="Q49" s="142"/>
      <c r="R49" s="1"/>
      <c r="S49" s="1"/>
      <c r="T49" s="9" t="s">
        <v>43</v>
      </c>
      <c r="U49" s="11" t="s">
        <v>42</v>
      </c>
      <c r="V49" s="15" t="s">
        <v>49</v>
      </c>
      <c r="W49" s="1"/>
    </row>
    <row r="50" spans="1:23" ht="15.75" x14ac:dyDescent="0.3">
      <c r="A50" s="1"/>
      <c r="B50" s="1"/>
      <c r="C50" s="2"/>
      <c r="D50" s="1"/>
      <c r="E50" s="1"/>
      <c r="F50" s="1"/>
      <c r="G50" s="4"/>
      <c r="H50" s="12"/>
      <c r="I50" s="3"/>
      <c r="J50" s="3"/>
      <c r="K50" s="5"/>
      <c r="L50" s="5"/>
      <c r="M50" s="5"/>
      <c r="N50" s="1"/>
      <c r="O50" s="8" t="s">
        <v>39</v>
      </c>
      <c r="P50" s="143" t="s">
        <v>40</v>
      </c>
      <c r="Q50" s="143"/>
      <c r="R50" s="1"/>
      <c r="S50" s="1"/>
      <c r="T50" s="4"/>
      <c r="U50" s="14" t="s">
        <v>41</v>
      </c>
      <c r="V50" s="1"/>
      <c r="W50" s="1"/>
    </row>
    <row r="51" spans="1:23" ht="15.75" x14ac:dyDescent="0.3">
      <c r="A51" s="1" t="s">
        <v>102</v>
      </c>
      <c r="B51" s="1" t="s">
        <v>35</v>
      </c>
      <c r="C51" s="2">
        <v>1</v>
      </c>
      <c r="D51" s="1">
        <v>3.5</v>
      </c>
      <c r="E51" s="1">
        <v>1.3</v>
      </c>
      <c r="F51" s="1">
        <v>1.18</v>
      </c>
      <c r="G51" s="4">
        <f>C51*E51*F51*D51</f>
        <v>5.3689999999999998</v>
      </c>
      <c r="H51" s="12">
        <v>0.1</v>
      </c>
      <c r="I51" s="3">
        <v>2</v>
      </c>
      <c r="J51" s="3"/>
      <c r="K51" s="1"/>
      <c r="L51" s="1"/>
      <c r="M51" s="1"/>
      <c r="N51" s="1"/>
      <c r="O51" s="1">
        <v>3</v>
      </c>
      <c r="P51" s="1">
        <v>30</v>
      </c>
      <c r="Q51" s="1" t="s">
        <v>6</v>
      </c>
      <c r="R51" s="1">
        <f>O51/P51</f>
        <v>0.1</v>
      </c>
      <c r="S51" s="1">
        <f>R51+N51</f>
        <v>0.1</v>
      </c>
      <c r="T51" s="4">
        <f t="shared" ref="T51:T54" si="0">S51*W51</f>
        <v>5</v>
      </c>
      <c r="U51" s="10">
        <f t="shared" ref="U51:U54" si="1">G51+H51+T51+I51</f>
        <v>12.468999999999999</v>
      </c>
      <c r="V51" s="1">
        <f>Y48*U51</f>
        <v>0</v>
      </c>
      <c r="W51" s="1">
        <v>50</v>
      </c>
    </row>
    <row r="52" spans="1:23" ht="15.75" x14ac:dyDescent="0.3">
      <c r="A52" s="1" t="s">
        <v>103</v>
      </c>
      <c r="B52" s="1" t="s">
        <v>35</v>
      </c>
      <c r="C52" s="2">
        <f>1/0.45*0.03*0.05</f>
        <v>3.3333333333333335E-3</v>
      </c>
      <c r="D52" s="1">
        <v>450</v>
      </c>
      <c r="E52" s="1">
        <v>1.1200000000000001</v>
      </c>
      <c r="F52" s="1">
        <v>1.18</v>
      </c>
      <c r="G52" s="4">
        <f t="shared" ref="G52:G54" si="2">C52*E52*F52*D52</f>
        <v>1.9823999999999999</v>
      </c>
      <c r="H52" s="12">
        <v>0.3</v>
      </c>
      <c r="I52" s="3"/>
      <c r="J52" s="3"/>
      <c r="K52" s="1"/>
      <c r="L52" s="1"/>
      <c r="M52" s="1"/>
      <c r="N52" s="1"/>
      <c r="O52" s="1">
        <v>3</v>
      </c>
      <c r="P52" s="1">
        <v>20</v>
      </c>
      <c r="Q52" s="1" t="s">
        <v>6</v>
      </c>
      <c r="R52" s="1">
        <f t="shared" ref="R52:R54" si="3">O52/P52</f>
        <v>0.15</v>
      </c>
      <c r="S52" s="1">
        <f>R52+N52</f>
        <v>0.15</v>
      </c>
      <c r="T52" s="4">
        <f t="shared" si="0"/>
        <v>7.5</v>
      </c>
      <c r="U52" s="10">
        <f t="shared" si="1"/>
        <v>9.7823999999999991</v>
      </c>
      <c r="V52" s="1">
        <f>Y48*U52</f>
        <v>0</v>
      </c>
      <c r="W52" s="1">
        <v>50</v>
      </c>
    </row>
    <row r="53" spans="1:23" ht="15.75" x14ac:dyDescent="0.3">
      <c r="A53" s="1" t="s">
        <v>110</v>
      </c>
      <c r="B53" s="1" t="s">
        <v>35</v>
      </c>
      <c r="C53" s="2">
        <v>1</v>
      </c>
      <c r="D53" s="1">
        <v>35</v>
      </c>
      <c r="E53" s="1">
        <v>1.1499999999999999</v>
      </c>
      <c r="F53" s="1">
        <v>1.18</v>
      </c>
      <c r="G53" s="4">
        <f t="shared" ref="G53" si="4">C53*E53*F53*D53</f>
        <v>47.49499999999999</v>
      </c>
      <c r="H53" s="12">
        <v>0.25</v>
      </c>
      <c r="I53" s="3"/>
      <c r="J53" s="3"/>
      <c r="K53" s="1"/>
      <c r="L53" s="1"/>
      <c r="M53" s="1"/>
      <c r="N53" s="1"/>
      <c r="O53" s="1">
        <v>3</v>
      </c>
      <c r="P53" s="1">
        <v>2.5</v>
      </c>
      <c r="Q53" s="1" t="s">
        <v>6</v>
      </c>
      <c r="R53" s="1">
        <f t="shared" ref="R53" si="5">O53/P53</f>
        <v>1.2</v>
      </c>
      <c r="S53" s="1">
        <f t="shared" ref="S53" si="6">R53+N53</f>
        <v>1.2</v>
      </c>
      <c r="T53" s="4">
        <f t="shared" ref="T53" si="7">S53*W53</f>
        <v>60</v>
      </c>
      <c r="U53" s="10">
        <f t="shared" ref="U53" si="8">G53+H53+T53+I53</f>
        <v>107.74499999999999</v>
      </c>
      <c r="V53" s="1">
        <f>Y47*U53</f>
        <v>0</v>
      </c>
      <c r="W53" s="1">
        <v>50</v>
      </c>
    </row>
    <row r="54" spans="1:23" ht="15.75" x14ac:dyDescent="0.3">
      <c r="A54" s="1" t="s">
        <v>104</v>
      </c>
      <c r="B54" s="1" t="s">
        <v>35</v>
      </c>
      <c r="C54" s="2">
        <v>1</v>
      </c>
      <c r="D54" s="1">
        <v>14</v>
      </c>
      <c r="E54" s="1">
        <v>1.1499999999999999</v>
      </c>
      <c r="F54" s="1">
        <v>1.18</v>
      </c>
      <c r="G54" s="4">
        <f t="shared" si="2"/>
        <v>18.997999999999998</v>
      </c>
      <c r="H54" s="12">
        <v>0.25</v>
      </c>
      <c r="I54" s="3"/>
      <c r="J54" s="3"/>
      <c r="K54" s="1"/>
      <c r="L54" s="1"/>
      <c r="M54" s="1"/>
      <c r="N54" s="1"/>
      <c r="O54" s="1">
        <v>3</v>
      </c>
      <c r="P54" s="1">
        <v>2.5</v>
      </c>
      <c r="Q54" s="1" t="s">
        <v>6</v>
      </c>
      <c r="R54" s="1">
        <f t="shared" si="3"/>
        <v>1.2</v>
      </c>
      <c r="S54" s="1">
        <f t="shared" ref="S54" si="9">R54+N54</f>
        <v>1.2</v>
      </c>
      <c r="T54" s="4">
        <f t="shared" si="0"/>
        <v>60</v>
      </c>
      <c r="U54" s="10">
        <f t="shared" si="1"/>
        <v>79.24799999999999</v>
      </c>
      <c r="V54" s="1">
        <f>Y48*U54</f>
        <v>0</v>
      </c>
      <c r="W54" s="1">
        <v>50</v>
      </c>
    </row>
    <row r="55" spans="1:23" ht="15.75" x14ac:dyDescent="0.3">
      <c r="A55" s="1" t="s">
        <v>105</v>
      </c>
      <c r="B55" s="1"/>
      <c r="C55" s="2">
        <v>1</v>
      </c>
      <c r="D55" s="1">
        <v>8.5</v>
      </c>
      <c r="E55" s="1">
        <v>1.1499999999999999</v>
      </c>
      <c r="F55" s="1">
        <v>1.03</v>
      </c>
      <c r="G55" s="4">
        <f t="shared" ref="G55" si="10">C55*E55*F55*D55</f>
        <v>10.068249999999999</v>
      </c>
      <c r="H55" s="12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4">
        <f t="shared" ref="T55" si="11">S55*W55</f>
        <v>0</v>
      </c>
      <c r="U55" s="10">
        <f t="shared" ref="U55" si="12">G55+H55+T55+I55</f>
        <v>10.068249999999999</v>
      </c>
      <c r="V55" s="1">
        <f>Y49*U55</f>
        <v>0</v>
      </c>
      <c r="W55" s="1"/>
    </row>
    <row r="56" spans="1:23" ht="15.75" x14ac:dyDescent="0.3">
      <c r="A56" s="1"/>
      <c r="B56" s="1"/>
      <c r="C56" s="2"/>
      <c r="D56" s="1"/>
      <c r="E56" s="1"/>
      <c r="F56" s="1"/>
      <c r="G56" s="4"/>
      <c r="H56" s="12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4"/>
      <c r="U56" s="10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4"/>
      <c r="H57" s="12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4"/>
      <c r="U57" s="10"/>
      <c r="V57" s="1"/>
      <c r="W57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57"/>
  <sheetViews>
    <sheetView topLeftCell="A13" workbookViewId="0">
      <selection activeCell="F24" sqref="F24"/>
    </sheetView>
  </sheetViews>
  <sheetFormatPr baseColWidth="10" defaultRowHeight="15" x14ac:dyDescent="0.25"/>
  <sheetData>
    <row r="1" spans="1:12" x14ac:dyDescent="0.25">
      <c r="A1" s="18" t="s">
        <v>91</v>
      </c>
      <c r="L1" s="19"/>
    </row>
    <row r="2" spans="1:12" x14ac:dyDescent="0.25">
      <c r="C2" t="s">
        <v>71</v>
      </c>
      <c r="F2" s="18" t="s">
        <v>72</v>
      </c>
      <c r="G2" t="s">
        <v>73</v>
      </c>
      <c r="J2" t="s">
        <v>74</v>
      </c>
      <c r="L2" s="19" t="s">
        <v>75</v>
      </c>
    </row>
    <row r="3" spans="1:12" x14ac:dyDescent="0.25">
      <c r="B3" t="s">
        <v>119</v>
      </c>
      <c r="D3" s="21">
        <v>1</v>
      </c>
      <c r="E3" t="s">
        <v>35</v>
      </c>
      <c r="L3" s="19"/>
    </row>
    <row r="4" spans="1:12" x14ac:dyDescent="0.25">
      <c r="B4" t="s">
        <v>78</v>
      </c>
      <c r="C4">
        <v>52</v>
      </c>
      <c r="D4" s="20">
        <v>0.2</v>
      </c>
      <c r="E4" t="s">
        <v>84</v>
      </c>
      <c r="F4">
        <f>D4*D3</f>
        <v>0.2</v>
      </c>
      <c r="G4">
        <f>D3*D4*C4</f>
        <v>10.4</v>
      </c>
      <c r="L4" s="19"/>
    </row>
    <row r="5" spans="1:12" x14ac:dyDescent="0.25">
      <c r="B5" t="s">
        <v>0</v>
      </c>
      <c r="D5">
        <f>11*1.15*1.18</f>
        <v>14.926999999999998</v>
      </c>
      <c r="E5" t="s">
        <v>82</v>
      </c>
      <c r="G5">
        <f>D3*D5</f>
        <v>14.926999999999998</v>
      </c>
      <c r="L5" s="19"/>
    </row>
    <row r="6" spans="1:12" x14ac:dyDescent="0.25">
      <c r="B6" t="s">
        <v>80</v>
      </c>
      <c r="D6">
        <v>0.15</v>
      </c>
      <c r="E6" t="s">
        <v>82</v>
      </c>
      <c r="G6">
        <f>D4*D6</f>
        <v>0.03</v>
      </c>
      <c r="L6" s="19"/>
    </row>
    <row r="7" spans="1:12" x14ac:dyDescent="0.25">
      <c r="L7" s="19">
        <f>SUM(G4:G6)</f>
        <v>25.356999999999999</v>
      </c>
    </row>
    <row r="8" spans="1:12" x14ac:dyDescent="0.25">
      <c r="L8" s="19"/>
    </row>
    <row r="9" spans="1:12" x14ac:dyDescent="0.25">
      <c r="L9" s="19"/>
    </row>
    <row r="10" spans="1:12" x14ac:dyDescent="0.25">
      <c r="B10" t="s">
        <v>93</v>
      </c>
      <c r="D10">
        <f>D3</f>
        <v>1</v>
      </c>
      <c r="E10" t="s">
        <v>35</v>
      </c>
      <c r="L10" s="19"/>
    </row>
    <row r="11" spans="1:12" x14ac:dyDescent="0.25">
      <c r="B11" t="s">
        <v>78</v>
      </c>
      <c r="C11">
        <v>52</v>
      </c>
      <c r="D11" s="20">
        <f>3/15</f>
        <v>0.2</v>
      </c>
      <c r="E11" t="s">
        <v>84</v>
      </c>
      <c r="F11">
        <f>D11*D10</f>
        <v>0.2</v>
      </c>
      <c r="G11">
        <f>D10*D11*C11</f>
        <v>10.4</v>
      </c>
      <c r="L11" s="19"/>
    </row>
    <row r="12" spans="1:12" x14ac:dyDescent="0.25">
      <c r="B12" t="s">
        <v>0</v>
      </c>
      <c r="D12" s="20">
        <f>15*1.15*1.18</f>
        <v>20.355</v>
      </c>
      <c r="E12" t="s">
        <v>82</v>
      </c>
      <c r="G12">
        <f>D10*D12</f>
        <v>20.355</v>
      </c>
      <c r="L12" s="19"/>
    </row>
    <row r="13" spans="1:12" x14ac:dyDescent="0.25">
      <c r="B13" t="s">
        <v>80</v>
      </c>
      <c r="D13">
        <v>0.5</v>
      </c>
      <c r="E13" t="s">
        <v>82</v>
      </c>
      <c r="G13">
        <f>D11*D13</f>
        <v>0.1</v>
      </c>
      <c r="L13" s="19"/>
    </row>
    <row r="14" spans="1:12" x14ac:dyDescent="0.25">
      <c r="L14" s="19">
        <f>SUM(G11:G13)</f>
        <v>30.855000000000004</v>
      </c>
    </row>
    <row r="15" spans="1:12" x14ac:dyDescent="0.25">
      <c r="L15" s="19"/>
    </row>
    <row r="16" spans="1:12" x14ac:dyDescent="0.25">
      <c r="B16" t="s">
        <v>94</v>
      </c>
      <c r="D16">
        <f>D3</f>
        <v>1</v>
      </c>
      <c r="E16" t="s">
        <v>35</v>
      </c>
      <c r="L16" s="19"/>
    </row>
    <row r="17" spans="2:12" x14ac:dyDescent="0.25">
      <c r="B17" t="s">
        <v>78</v>
      </c>
      <c r="C17">
        <v>52</v>
      </c>
      <c r="D17" s="20">
        <v>0.3</v>
      </c>
      <c r="E17" t="s">
        <v>84</v>
      </c>
      <c r="F17">
        <f>D17*D16</f>
        <v>0.3</v>
      </c>
      <c r="G17">
        <f>D16*D17*C17</f>
        <v>15.6</v>
      </c>
      <c r="L17" s="19"/>
    </row>
    <row r="18" spans="2:12" x14ac:dyDescent="0.25">
      <c r="B18" t="s">
        <v>0</v>
      </c>
      <c r="D18" s="20">
        <f>1/0.45*0.08*0.16*440*1.12*1.18</f>
        <v>16.540558222222224</v>
      </c>
      <c r="E18" t="s">
        <v>82</v>
      </c>
      <c r="G18" s="20">
        <f>D16*D18</f>
        <v>16.540558222222224</v>
      </c>
      <c r="L18" s="19"/>
    </row>
    <row r="19" spans="2:12" x14ac:dyDescent="0.25">
      <c r="B19" t="s">
        <v>80</v>
      </c>
      <c r="D19">
        <v>2</v>
      </c>
      <c r="E19" t="s">
        <v>82</v>
      </c>
      <c r="G19">
        <f>D17*D19</f>
        <v>0.6</v>
      </c>
      <c r="L19" s="19"/>
    </row>
    <row r="20" spans="2:12" x14ac:dyDescent="0.25">
      <c r="L20" s="19">
        <f>SUM(G17:G19)</f>
        <v>32.740558222222226</v>
      </c>
    </row>
    <row r="21" spans="2:12" x14ac:dyDescent="0.25">
      <c r="L21" s="19"/>
    </row>
    <row r="22" spans="2:12" x14ac:dyDescent="0.25">
      <c r="L22" s="19"/>
    </row>
    <row r="23" spans="2:12" x14ac:dyDescent="0.25">
      <c r="B23" t="s">
        <v>95</v>
      </c>
      <c r="D23">
        <f>D3</f>
        <v>1</v>
      </c>
      <c r="E23" t="s">
        <v>35</v>
      </c>
      <c r="L23" s="19"/>
    </row>
    <row r="24" spans="2:12" x14ac:dyDescent="0.25">
      <c r="B24" t="s">
        <v>78</v>
      </c>
      <c r="C24">
        <v>52</v>
      </c>
      <c r="D24" s="20">
        <v>0.2</v>
      </c>
      <c r="E24" t="s">
        <v>84</v>
      </c>
      <c r="F24">
        <f>D24*D23</f>
        <v>0.2</v>
      </c>
      <c r="G24">
        <f>D23*D24*C24</f>
        <v>10.4</v>
      </c>
      <c r="L24" s="19"/>
    </row>
    <row r="25" spans="2:12" x14ac:dyDescent="0.25">
      <c r="B25" t="s">
        <v>0</v>
      </c>
      <c r="D25" s="20">
        <f>1.18*10*0.9</f>
        <v>10.62</v>
      </c>
      <c r="E25" t="s">
        <v>82</v>
      </c>
      <c r="G25">
        <f>D23*D25</f>
        <v>10.62</v>
      </c>
      <c r="L25" s="19"/>
    </row>
    <row r="26" spans="2:12" x14ac:dyDescent="0.25">
      <c r="B26" t="s">
        <v>80</v>
      </c>
      <c r="D26">
        <v>0.15</v>
      </c>
      <c r="E26" t="s">
        <v>82</v>
      </c>
      <c r="G26">
        <f>D24*D26</f>
        <v>0.03</v>
      </c>
      <c r="L26" s="19"/>
    </row>
    <row r="27" spans="2:12" x14ac:dyDescent="0.25">
      <c r="L27" s="19">
        <f>SUM(G24:G26)</f>
        <v>21.05</v>
      </c>
    </row>
    <row r="28" spans="2:12" x14ac:dyDescent="0.25">
      <c r="L28" s="19"/>
    </row>
    <row r="29" spans="2:12" x14ac:dyDescent="0.25">
      <c r="L29" s="19"/>
    </row>
    <row r="30" spans="2:12" x14ac:dyDescent="0.25">
      <c r="B30" t="s">
        <v>96</v>
      </c>
      <c r="D30">
        <f>D3</f>
        <v>1</v>
      </c>
      <c r="E30" t="s">
        <v>35</v>
      </c>
      <c r="L30" s="19"/>
    </row>
    <row r="31" spans="2:12" x14ac:dyDescent="0.25">
      <c r="B31" t="s">
        <v>78</v>
      </c>
      <c r="C31">
        <v>52</v>
      </c>
      <c r="D31" s="20">
        <v>0.1</v>
      </c>
      <c r="E31" t="s">
        <v>84</v>
      </c>
      <c r="F31">
        <f>D31*D30</f>
        <v>0.1</v>
      </c>
      <c r="G31">
        <f>D30*D31*C31</f>
        <v>5.2</v>
      </c>
      <c r="L31" s="19"/>
    </row>
    <row r="32" spans="2:12" x14ac:dyDescent="0.25">
      <c r="B32" t="s">
        <v>80</v>
      </c>
      <c r="D32">
        <v>2</v>
      </c>
      <c r="E32" t="s">
        <v>82</v>
      </c>
      <c r="G32">
        <v>2</v>
      </c>
      <c r="L32" s="19"/>
    </row>
    <row r="33" spans="1:14" x14ac:dyDescent="0.25">
      <c r="L33" s="19">
        <f>SUM(G31:G32)</f>
        <v>7.2</v>
      </c>
    </row>
    <row r="34" spans="1:14" x14ac:dyDescent="0.25">
      <c r="L34" s="19"/>
    </row>
    <row r="35" spans="1:14" x14ac:dyDescent="0.25">
      <c r="L35" s="19"/>
    </row>
    <row r="36" spans="1:14" x14ac:dyDescent="0.25">
      <c r="J36" s="20"/>
      <c r="L36" s="19"/>
    </row>
    <row r="37" spans="1:14" x14ac:dyDescent="0.25">
      <c r="B37" t="s">
        <v>33</v>
      </c>
      <c r="D37">
        <f>D3</f>
        <v>1</v>
      </c>
      <c r="E37" t="s">
        <v>35</v>
      </c>
      <c r="L37" s="19"/>
    </row>
    <row r="38" spans="1:14" x14ac:dyDescent="0.25">
      <c r="B38" t="s">
        <v>78</v>
      </c>
      <c r="C38">
        <v>52</v>
      </c>
      <c r="D38">
        <v>0.4</v>
      </c>
      <c r="E38" t="s">
        <v>84</v>
      </c>
      <c r="F38">
        <f>D37*D38</f>
        <v>0.4</v>
      </c>
      <c r="G38">
        <f>D37*D38*C38</f>
        <v>20.8</v>
      </c>
      <c r="L38" s="19"/>
    </row>
    <row r="39" spans="1:14" x14ac:dyDescent="0.25">
      <c r="B39" t="s">
        <v>85</v>
      </c>
      <c r="D39">
        <v>1.6</v>
      </c>
      <c r="E39" t="s">
        <v>82</v>
      </c>
      <c r="G39">
        <f>D39*D37</f>
        <v>1.6</v>
      </c>
      <c r="L39" s="19"/>
    </row>
    <row r="40" spans="1:14" x14ac:dyDescent="0.25">
      <c r="D40" s="20"/>
      <c r="G40" s="20"/>
      <c r="L40" s="19"/>
    </row>
    <row r="41" spans="1:14" x14ac:dyDescent="0.25">
      <c r="J41" s="20">
        <f>SUM(G38:G40)/D37</f>
        <v>22.400000000000002</v>
      </c>
      <c r="K41" t="s">
        <v>82</v>
      </c>
      <c r="L41" s="19">
        <f>D37*J41</f>
        <v>22.400000000000002</v>
      </c>
      <c r="M41" t="s">
        <v>83</v>
      </c>
    </row>
    <row r="42" spans="1:14" x14ac:dyDescent="0.25">
      <c r="L42" s="19"/>
      <c r="N42" t="s">
        <v>82</v>
      </c>
    </row>
    <row r="43" spans="1:14" x14ac:dyDescent="0.25">
      <c r="A43" s="22"/>
      <c r="B43" s="23"/>
      <c r="C43" s="23"/>
      <c r="D43" s="23"/>
      <c r="E43" s="23"/>
      <c r="F43" s="24">
        <f>SUM(F4:F42)</f>
        <v>1.4</v>
      </c>
      <c r="G43" s="23">
        <f>SUM(G4:G42)</f>
        <v>139.60255822222223</v>
      </c>
      <c r="H43" s="23"/>
      <c r="I43" s="23"/>
      <c r="J43" s="23"/>
      <c r="K43" s="23"/>
      <c r="L43" s="25">
        <f>SUM(L3:L42)</f>
        <v>139.60255822222223</v>
      </c>
      <c r="M43" s="26" t="s">
        <v>83</v>
      </c>
      <c r="N43" s="20">
        <f>L43/D37</f>
        <v>139.60255822222223</v>
      </c>
    </row>
    <row r="46" spans="1:14" x14ac:dyDescent="0.25">
      <c r="E46" t="s">
        <v>39</v>
      </c>
      <c r="H46" t="s">
        <v>84</v>
      </c>
      <c r="M46" t="s">
        <v>3</v>
      </c>
    </row>
    <row r="47" spans="1:14" ht="15.75" x14ac:dyDescent="0.3">
      <c r="E47" s="1">
        <v>3</v>
      </c>
      <c r="F47" s="1">
        <v>6</v>
      </c>
      <c r="G47" s="1" t="s">
        <v>6</v>
      </c>
      <c r="H47" s="1">
        <f>E47/F47</f>
        <v>0.5</v>
      </c>
      <c r="I47" s="1">
        <f>H47+'UNGED. ELEMENTE'!N32</f>
        <v>0.5</v>
      </c>
      <c r="J47" s="4">
        <f>I47*M47</f>
        <v>21.5</v>
      </c>
      <c r="K47" s="1" t="s">
        <v>82</v>
      </c>
      <c r="L47" s="1"/>
      <c r="M47" s="1">
        <v>43</v>
      </c>
    </row>
    <row r="49" spans="1:23" ht="15.75" x14ac:dyDescent="0.3">
      <c r="A49" s="1"/>
      <c r="B49" s="1"/>
      <c r="C49" s="2" t="s">
        <v>0</v>
      </c>
      <c r="D49" s="1" t="s">
        <v>5</v>
      </c>
      <c r="E49" s="1" t="s">
        <v>37</v>
      </c>
      <c r="F49" s="1" t="s">
        <v>1</v>
      </c>
      <c r="G49" s="9" t="s">
        <v>38</v>
      </c>
      <c r="H49" s="13" t="s">
        <v>2</v>
      </c>
      <c r="I49" s="6" t="s">
        <v>19</v>
      </c>
      <c r="J49" s="6"/>
      <c r="K49" s="142" t="s">
        <v>10</v>
      </c>
      <c r="L49" s="142"/>
      <c r="M49" s="142"/>
      <c r="N49" s="7"/>
      <c r="O49" s="142" t="s">
        <v>9</v>
      </c>
      <c r="P49" s="142"/>
      <c r="Q49" s="142"/>
      <c r="R49" s="1"/>
      <c r="S49" s="1"/>
      <c r="T49" s="9" t="s">
        <v>43</v>
      </c>
      <c r="U49" s="11" t="s">
        <v>42</v>
      </c>
      <c r="V49" s="15" t="s">
        <v>49</v>
      </c>
      <c r="W49" s="1"/>
    </row>
    <row r="50" spans="1:23" ht="15.75" x14ac:dyDescent="0.3">
      <c r="A50" s="1"/>
      <c r="B50" s="1"/>
      <c r="C50" s="2"/>
      <c r="D50" s="1"/>
      <c r="E50" s="1"/>
      <c r="F50" s="1"/>
      <c r="G50" s="4"/>
      <c r="H50" s="12"/>
      <c r="I50" s="3"/>
      <c r="J50" s="3"/>
      <c r="K50" s="5"/>
      <c r="L50" s="5"/>
      <c r="M50" s="5"/>
      <c r="N50" s="1"/>
      <c r="O50" s="8" t="s">
        <v>39</v>
      </c>
      <c r="P50" s="143" t="s">
        <v>40</v>
      </c>
      <c r="Q50" s="143"/>
      <c r="R50" s="1"/>
      <c r="S50" s="1"/>
      <c r="T50" s="4"/>
      <c r="U50" s="14" t="s">
        <v>41</v>
      </c>
      <c r="V50" s="1"/>
      <c r="W50" s="1"/>
    </row>
    <row r="51" spans="1:23" ht="15.75" x14ac:dyDescent="0.3">
      <c r="A51" s="1" t="s">
        <v>102</v>
      </c>
      <c r="B51" s="1" t="s">
        <v>35</v>
      </c>
      <c r="C51" s="2">
        <v>1</v>
      </c>
      <c r="D51" s="1">
        <v>3.5</v>
      </c>
      <c r="E51" s="1">
        <v>1.3</v>
      </c>
      <c r="F51" s="1">
        <v>1.18</v>
      </c>
      <c r="G51" s="4">
        <f>C51*E51*F51*D51</f>
        <v>5.3689999999999998</v>
      </c>
      <c r="H51" s="12">
        <v>0.1</v>
      </c>
      <c r="I51" s="3">
        <v>2</v>
      </c>
      <c r="J51" s="3"/>
      <c r="K51" s="1"/>
      <c r="L51" s="1"/>
      <c r="M51" s="1"/>
      <c r="N51" s="1"/>
      <c r="O51" s="1">
        <v>3</v>
      </c>
      <c r="P51" s="1">
        <v>30</v>
      </c>
      <c r="Q51" s="1" t="s">
        <v>6</v>
      </c>
      <c r="R51" s="1">
        <f>O51/P51</f>
        <v>0.1</v>
      </c>
      <c r="S51" s="1">
        <f>R51+N51</f>
        <v>0.1</v>
      </c>
      <c r="T51" s="4">
        <f t="shared" ref="T51:T55" si="0">S51*W51</f>
        <v>5</v>
      </c>
      <c r="U51" s="10">
        <f t="shared" ref="U51:U55" si="1">G51+H51+T51+I51</f>
        <v>12.468999999999999</v>
      </c>
      <c r="V51" s="1">
        <f>Y48*U51</f>
        <v>0</v>
      </c>
      <c r="W51" s="1">
        <v>50</v>
      </c>
    </row>
    <row r="52" spans="1:23" ht="15.75" x14ac:dyDescent="0.3">
      <c r="A52" s="1" t="s">
        <v>103</v>
      </c>
      <c r="B52" s="1" t="s">
        <v>35</v>
      </c>
      <c r="C52" s="2">
        <f>1/0.45*0.03*0.05</f>
        <v>3.3333333333333335E-3</v>
      </c>
      <c r="D52" s="1">
        <v>450</v>
      </c>
      <c r="E52" s="1">
        <v>1.1200000000000001</v>
      </c>
      <c r="F52" s="1">
        <v>1.18</v>
      </c>
      <c r="G52" s="4">
        <f t="shared" ref="G52:G55" si="2">C52*E52*F52*D52</f>
        <v>1.9823999999999999</v>
      </c>
      <c r="H52" s="12">
        <v>0.3</v>
      </c>
      <c r="I52" s="3"/>
      <c r="J52" s="3"/>
      <c r="K52" s="1"/>
      <c r="L52" s="1"/>
      <c r="M52" s="1"/>
      <c r="N52" s="1"/>
      <c r="O52" s="1">
        <v>3</v>
      </c>
      <c r="P52" s="1">
        <v>20</v>
      </c>
      <c r="Q52" s="1" t="s">
        <v>6</v>
      </c>
      <c r="R52" s="1">
        <f t="shared" ref="R52:R54" si="3">O52/P52</f>
        <v>0.15</v>
      </c>
      <c r="S52" s="1">
        <f>R52+N52</f>
        <v>0.15</v>
      </c>
      <c r="T52" s="4">
        <f t="shared" si="0"/>
        <v>7.5</v>
      </c>
      <c r="U52" s="10">
        <f t="shared" si="1"/>
        <v>9.7823999999999991</v>
      </c>
      <c r="V52" s="1">
        <f>Y48*U52</f>
        <v>0</v>
      </c>
      <c r="W52" s="1">
        <v>50</v>
      </c>
    </row>
    <row r="53" spans="1:23" ht="15.75" x14ac:dyDescent="0.3">
      <c r="A53" s="1" t="s">
        <v>110</v>
      </c>
      <c r="B53" s="1" t="s">
        <v>35</v>
      </c>
      <c r="C53" s="2">
        <v>1</v>
      </c>
      <c r="D53" s="1">
        <v>35</v>
      </c>
      <c r="E53" s="1">
        <v>1.1499999999999999</v>
      </c>
      <c r="F53" s="1">
        <v>1.18</v>
      </c>
      <c r="G53" s="4">
        <f t="shared" si="2"/>
        <v>47.49499999999999</v>
      </c>
      <c r="H53" s="12">
        <v>0.25</v>
      </c>
      <c r="I53" s="3"/>
      <c r="J53" s="3"/>
      <c r="K53" s="1"/>
      <c r="L53" s="1"/>
      <c r="M53" s="1"/>
      <c r="N53" s="1"/>
      <c r="O53" s="1">
        <v>3</v>
      </c>
      <c r="P53" s="1">
        <v>2.5</v>
      </c>
      <c r="Q53" s="1" t="s">
        <v>6</v>
      </c>
      <c r="R53" s="1">
        <f t="shared" si="3"/>
        <v>1.2</v>
      </c>
      <c r="S53" s="1">
        <f t="shared" ref="S53:S54" si="4">R53+N53</f>
        <v>1.2</v>
      </c>
      <c r="T53" s="4">
        <f t="shared" si="0"/>
        <v>60</v>
      </c>
      <c r="U53" s="10">
        <f t="shared" si="1"/>
        <v>107.74499999999999</v>
      </c>
      <c r="V53" s="1">
        <f>Y47*U53</f>
        <v>0</v>
      </c>
      <c r="W53" s="1">
        <v>50</v>
      </c>
    </row>
    <row r="54" spans="1:23" ht="15.75" x14ac:dyDescent="0.3">
      <c r="A54" s="1" t="s">
        <v>104</v>
      </c>
      <c r="B54" s="1" t="s">
        <v>35</v>
      </c>
      <c r="C54" s="2">
        <v>1</v>
      </c>
      <c r="D54" s="1">
        <v>14</v>
      </c>
      <c r="E54" s="1">
        <v>1.1499999999999999</v>
      </c>
      <c r="F54" s="1">
        <v>1.18</v>
      </c>
      <c r="G54" s="4">
        <f t="shared" si="2"/>
        <v>18.997999999999998</v>
      </c>
      <c r="H54" s="12">
        <v>0.25</v>
      </c>
      <c r="I54" s="3"/>
      <c r="J54" s="3"/>
      <c r="K54" s="1"/>
      <c r="L54" s="1"/>
      <c r="M54" s="1"/>
      <c r="N54" s="1"/>
      <c r="O54" s="1">
        <v>3</v>
      </c>
      <c r="P54" s="1">
        <v>2.5</v>
      </c>
      <c r="Q54" s="1" t="s">
        <v>6</v>
      </c>
      <c r="R54" s="1">
        <f t="shared" si="3"/>
        <v>1.2</v>
      </c>
      <c r="S54" s="1">
        <f t="shared" si="4"/>
        <v>1.2</v>
      </c>
      <c r="T54" s="4">
        <f t="shared" si="0"/>
        <v>60</v>
      </c>
      <c r="U54" s="10">
        <f t="shared" si="1"/>
        <v>79.24799999999999</v>
      </c>
      <c r="V54" s="1">
        <f>Y48*U54</f>
        <v>0</v>
      </c>
      <c r="W54" s="1">
        <v>50</v>
      </c>
    </row>
    <row r="55" spans="1:23" ht="15.75" x14ac:dyDescent="0.3">
      <c r="A55" s="1" t="s">
        <v>105</v>
      </c>
      <c r="B55" s="1"/>
      <c r="C55" s="2">
        <v>1</v>
      </c>
      <c r="D55" s="1">
        <v>8.5</v>
      </c>
      <c r="E55" s="1">
        <v>1.1499999999999999</v>
      </c>
      <c r="F55" s="1">
        <v>1.03</v>
      </c>
      <c r="G55" s="4">
        <f t="shared" si="2"/>
        <v>10.068249999999999</v>
      </c>
      <c r="H55" s="12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4">
        <f t="shared" si="0"/>
        <v>0</v>
      </c>
      <c r="U55" s="10">
        <f t="shared" si="1"/>
        <v>10.068249999999999</v>
      </c>
      <c r="V55" s="1">
        <f>Y49*U55</f>
        <v>0</v>
      </c>
      <c r="W55" s="1"/>
    </row>
    <row r="56" spans="1:23" ht="15.75" x14ac:dyDescent="0.3">
      <c r="A56" s="1"/>
      <c r="B56" s="1"/>
      <c r="C56" s="2"/>
      <c r="D56" s="1"/>
      <c r="E56" s="1"/>
      <c r="F56" s="1"/>
      <c r="G56" s="4"/>
      <c r="H56" s="12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4"/>
      <c r="U56" s="10"/>
      <c r="V56" s="1"/>
      <c r="W56" s="1"/>
    </row>
    <row r="57" spans="1:23" ht="15.75" x14ac:dyDescent="0.3">
      <c r="A57" s="1"/>
      <c r="B57" s="1"/>
      <c r="C57" s="2"/>
      <c r="D57" s="1"/>
      <c r="E57" s="1"/>
      <c r="F57" s="1"/>
      <c r="G57" s="4"/>
      <c r="H57" s="12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4"/>
      <c r="U57" s="10"/>
      <c r="V57" s="1"/>
      <c r="W57" s="1"/>
    </row>
  </sheetData>
  <mergeCells count="3">
    <mergeCell ref="K49:M49"/>
    <mergeCell ref="O49:Q49"/>
    <mergeCell ref="P50:Q50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63"/>
  <sheetViews>
    <sheetView workbookViewId="0">
      <selection activeCell="F24" sqref="F24"/>
    </sheetView>
  </sheetViews>
  <sheetFormatPr baseColWidth="10" defaultRowHeight="15" x14ac:dyDescent="0.25"/>
  <sheetData>
    <row r="1" spans="1:12" x14ac:dyDescent="0.25">
      <c r="A1" s="18" t="s">
        <v>91</v>
      </c>
      <c r="L1" s="19"/>
    </row>
    <row r="2" spans="1:12" x14ac:dyDescent="0.25">
      <c r="C2" t="s">
        <v>71</v>
      </c>
      <c r="F2" s="18" t="s">
        <v>72</v>
      </c>
      <c r="G2" t="s">
        <v>73</v>
      </c>
      <c r="J2" t="s">
        <v>74</v>
      </c>
      <c r="L2" s="19" t="s">
        <v>75</v>
      </c>
    </row>
    <row r="3" spans="1:12" x14ac:dyDescent="0.25">
      <c r="B3" t="s">
        <v>120</v>
      </c>
      <c r="D3" s="21">
        <v>1</v>
      </c>
      <c r="E3" t="s">
        <v>35</v>
      </c>
      <c r="L3" s="19"/>
    </row>
    <row r="4" spans="1:12" x14ac:dyDescent="0.25">
      <c r="B4" t="s">
        <v>78</v>
      </c>
      <c r="C4">
        <v>52</v>
      </c>
      <c r="D4" s="20">
        <v>0.22</v>
      </c>
      <c r="E4" t="s">
        <v>84</v>
      </c>
      <c r="F4">
        <f>D4*D3</f>
        <v>0.22</v>
      </c>
      <c r="G4">
        <f>D3*D4*C4</f>
        <v>11.44</v>
      </c>
      <c r="L4" s="19"/>
    </row>
    <row r="5" spans="1:12" x14ac:dyDescent="0.25">
      <c r="B5" t="s">
        <v>0</v>
      </c>
      <c r="D5">
        <f>310*0.022*1.15*1.18</f>
        <v>9.2547399999999982</v>
      </c>
      <c r="E5" t="s">
        <v>82</v>
      </c>
      <c r="G5">
        <f>D3*D5</f>
        <v>9.2547399999999982</v>
      </c>
      <c r="L5" s="19"/>
    </row>
    <row r="6" spans="1:12" x14ac:dyDescent="0.25">
      <c r="B6" t="s">
        <v>80</v>
      </c>
      <c r="D6">
        <v>0.15</v>
      </c>
      <c r="E6" t="s">
        <v>82</v>
      </c>
      <c r="G6">
        <f>D4*D6</f>
        <v>3.3000000000000002E-2</v>
      </c>
      <c r="L6" s="19"/>
    </row>
    <row r="7" spans="1:12" x14ac:dyDescent="0.25">
      <c r="L7" s="19">
        <f>SUM(G4:G6)</f>
        <v>20.727739999999997</v>
      </c>
    </row>
    <row r="8" spans="1:12" x14ac:dyDescent="0.25">
      <c r="L8" s="19"/>
    </row>
    <row r="9" spans="1:12" x14ac:dyDescent="0.25">
      <c r="B9" t="s">
        <v>121</v>
      </c>
      <c r="D9" s="21">
        <v>1</v>
      </c>
      <c r="E9" t="s">
        <v>35</v>
      </c>
      <c r="L9" s="19"/>
    </row>
    <row r="10" spans="1:12" x14ac:dyDescent="0.25">
      <c r="B10" t="s">
        <v>78</v>
      </c>
      <c r="C10">
        <v>52</v>
      </c>
      <c r="D10" s="20">
        <v>0.2</v>
      </c>
      <c r="E10" t="s">
        <v>84</v>
      </c>
      <c r="F10">
        <f>D10*D9</f>
        <v>0.2</v>
      </c>
      <c r="G10">
        <f>D9*D10*C10</f>
        <v>10.4</v>
      </c>
      <c r="L10" s="19"/>
    </row>
    <row r="11" spans="1:12" x14ac:dyDescent="0.25">
      <c r="B11" t="s">
        <v>0</v>
      </c>
      <c r="D11">
        <f>310*0.015*1.15*1.18</f>
        <v>6.3100499999999986</v>
      </c>
      <c r="E11" t="s">
        <v>82</v>
      </c>
      <c r="G11">
        <f>D9*D11</f>
        <v>6.3100499999999986</v>
      </c>
      <c r="L11" s="19"/>
    </row>
    <row r="12" spans="1:12" x14ac:dyDescent="0.25">
      <c r="B12" t="s">
        <v>80</v>
      </c>
      <c r="D12">
        <v>0.15</v>
      </c>
      <c r="E12" t="s">
        <v>82</v>
      </c>
      <c r="G12">
        <f>D10*D12</f>
        <v>0.03</v>
      </c>
      <c r="L12" s="19"/>
    </row>
    <row r="13" spans="1:12" x14ac:dyDescent="0.25">
      <c r="L13" s="19">
        <f>SUM(G10:G12)</f>
        <v>16.74005</v>
      </c>
    </row>
    <row r="14" spans="1:12" x14ac:dyDescent="0.25">
      <c r="L14" s="19"/>
    </row>
    <row r="15" spans="1:12" x14ac:dyDescent="0.25">
      <c r="L15" s="19"/>
    </row>
    <row r="16" spans="1:12" x14ac:dyDescent="0.25">
      <c r="B16" s="27" t="s">
        <v>93</v>
      </c>
      <c r="C16" s="27"/>
      <c r="D16" s="27">
        <f>D3</f>
        <v>1</v>
      </c>
      <c r="E16" s="27" t="s">
        <v>35</v>
      </c>
      <c r="F16" s="27"/>
      <c r="G16" s="27"/>
      <c r="H16" s="27"/>
      <c r="I16" s="27"/>
      <c r="J16" s="27"/>
      <c r="K16" s="27"/>
      <c r="L16" s="28"/>
    </row>
    <row r="17" spans="2:12" x14ac:dyDescent="0.25">
      <c r="B17" s="27" t="s">
        <v>78</v>
      </c>
      <c r="C17" s="27">
        <v>52</v>
      </c>
      <c r="D17" s="29">
        <f>3/15</f>
        <v>0.2</v>
      </c>
      <c r="E17" s="27" t="s">
        <v>84</v>
      </c>
      <c r="F17" s="27">
        <f>D17*D16</f>
        <v>0.2</v>
      </c>
      <c r="G17" s="27">
        <f>D16*D17*C17</f>
        <v>10.4</v>
      </c>
      <c r="H17" s="27"/>
      <c r="I17" s="27"/>
      <c r="J17" s="27"/>
      <c r="K17" s="27"/>
      <c r="L17" s="28"/>
    </row>
    <row r="18" spans="2:12" x14ac:dyDescent="0.25">
      <c r="B18" s="27" t="s">
        <v>0</v>
      </c>
      <c r="C18" s="27"/>
      <c r="D18" s="29">
        <f>15*1.15*1.18</f>
        <v>20.355</v>
      </c>
      <c r="E18" s="27" t="s">
        <v>82</v>
      </c>
      <c r="F18" s="27"/>
      <c r="G18" s="27">
        <f>D16*D18</f>
        <v>20.355</v>
      </c>
      <c r="H18" s="27"/>
      <c r="I18" s="27"/>
      <c r="J18" s="27"/>
      <c r="K18" s="27"/>
      <c r="L18" s="28"/>
    </row>
    <row r="19" spans="2:12" x14ac:dyDescent="0.25">
      <c r="B19" s="27" t="s">
        <v>80</v>
      </c>
      <c r="C19" s="27"/>
      <c r="D19" s="27">
        <v>0.5</v>
      </c>
      <c r="E19" s="27" t="s">
        <v>82</v>
      </c>
      <c r="F19" s="27"/>
      <c r="G19" s="27">
        <f>D17*D19</f>
        <v>0.1</v>
      </c>
      <c r="H19" s="27"/>
      <c r="I19" s="27"/>
      <c r="J19" s="27"/>
      <c r="K19" s="27"/>
      <c r="L19" s="28"/>
    </row>
    <row r="20" spans="2:12" x14ac:dyDescent="0.2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8">
        <f>SUM(G17:G19)</f>
        <v>30.855000000000004</v>
      </c>
    </row>
    <row r="21" spans="2:12" x14ac:dyDescent="0.25">
      <c r="L21" s="19"/>
    </row>
    <row r="22" spans="2:12" x14ac:dyDescent="0.25">
      <c r="B22" s="30" t="s">
        <v>94</v>
      </c>
      <c r="C22" s="30"/>
      <c r="D22" s="30">
        <f>D3</f>
        <v>1</v>
      </c>
      <c r="E22" s="30" t="s">
        <v>35</v>
      </c>
      <c r="F22" s="30"/>
      <c r="G22" s="30"/>
      <c r="H22" s="30"/>
      <c r="I22" s="30"/>
      <c r="J22" s="30"/>
      <c r="K22" s="30"/>
      <c r="L22" s="31"/>
    </row>
    <row r="23" spans="2:12" x14ac:dyDescent="0.25">
      <c r="B23" s="30" t="s">
        <v>78</v>
      </c>
      <c r="C23" s="30">
        <v>52</v>
      </c>
      <c r="D23" s="32">
        <v>0.3</v>
      </c>
      <c r="E23" s="30" t="s">
        <v>84</v>
      </c>
      <c r="F23" s="30">
        <f>D23*D22</f>
        <v>0.3</v>
      </c>
      <c r="G23" s="30">
        <f>D22*D23*C23</f>
        <v>15.6</v>
      </c>
      <c r="H23" s="30"/>
      <c r="I23" s="30"/>
      <c r="J23" s="30"/>
      <c r="K23" s="30"/>
      <c r="L23" s="31"/>
    </row>
    <row r="24" spans="2:12" x14ac:dyDescent="0.25">
      <c r="B24" s="27" t="s">
        <v>0</v>
      </c>
      <c r="C24" s="27"/>
      <c r="D24" s="29">
        <f>1/0.45*0.08*0.16*440*1.12*1.18</f>
        <v>16.540558222222224</v>
      </c>
      <c r="E24" s="27" t="s">
        <v>82</v>
      </c>
      <c r="F24" s="27"/>
      <c r="G24" s="29">
        <f>D22*D24</f>
        <v>16.540558222222224</v>
      </c>
      <c r="H24" s="30"/>
      <c r="I24" s="30"/>
      <c r="J24" s="30"/>
      <c r="K24" s="30"/>
      <c r="L24" s="31"/>
    </row>
    <row r="25" spans="2:12" x14ac:dyDescent="0.25">
      <c r="B25" s="30" t="s">
        <v>80</v>
      </c>
      <c r="C25" s="30"/>
      <c r="D25" s="30">
        <v>2</v>
      </c>
      <c r="E25" s="30" t="s">
        <v>82</v>
      </c>
      <c r="F25" s="30"/>
      <c r="G25" s="30">
        <f>D23*D25</f>
        <v>0.6</v>
      </c>
      <c r="H25" s="30"/>
      <c r="I25" s="30"/>
      <c r="J25" s="30"/>
      <c r="K25" s="30"/>
      <c r="L25" s="31"/>
    </row>
    <row r="26" spans="2:12" x14ac:dyDescent="0.2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>
        <f>SUM(G23:G25)-G24</f>
        <v>16.200000000000003</v>
      </c>
    </row>
    <row r="27" spans="2:12" x14ac:dyDescent="0.25">
      <c r="L27" s="19"/>
    </row>
    <row r="28" spans="2:12" x14ac:dyDescent="0.25">
      <c r="L28" s="19"/>
    </row>
    <row r="29" spans="2:12" x14ac:dyDescent="0.25">
      <c r="B29" t="s">
        <v>95</v>
      </c>
      <c r="D29">
        <f>D3</f>
        <v>1</v>
      </c>
      <c r="E29" t="s">
        <v>35</v>
      </c>
      <c r="L29" s="19"/>
    </row>
    <row r="30" spans="2:12" x14ac:dyDescent="0.25">
      <c r="B30" t="s">
        <v>78</v>
      </c>
      <c r="C30">
        <v>52</v>
      </c>
      <c r="D30" s="20">
        <v>0.2</v>
      </c>
      <c r="E30" t="s">
        <v>84</v>
      </c>
      <c r="F30">
        <f>D30*D29</f>
        <v>0.2</v>
      </c>
      <c r="G30">
        <f>D29*D30*C30</f>
        <v>10.4</v>
      </c>
      <c r="L30" s="19"/>
    </row>
    <row r="31" spans="2:12" x14ac:dyDescent="0.25">
      <c r="B31" t="s">
        <v>0</v>
      </c>
      <c r="D31" s="20">
        <f>1.18*13.33*0.9</f>
        <v>14.156460000000001</v>
      </c>
      <c r="E31" t="s">
        <v>82</v>
      </c>
      <c r="G31">
        <f>D29*D31</f>
        <v>14.156460000000001</v>
      </c>
      <c r="L31" s="19"/>
    </row>
    <row r="32" spans="2:12" x14ac:dyDescent="0.25">
      <c r="B32" t="s">
        <v>80</v>
      </c>
      <c r="D32">
        <v>0.15</v>
      </c>
      <c r="E32" t="s">
        <v>82</v>
      </c>
      <c r="G32">
        <f>D30*D32</f>
        <v>0.03</v>
      </c>
      <c r="L32" s="19"/>
    </row>
    <row r="33" spans="2:14" x14ac:dyDescent="0.25">
      <c r="L33" s="19">
        <f>SUM(G30:G32)</f>
        <v>24.586460000000002</v>
      </c>
    </row>
    <row r="34" spans="2:14" x14ac:dyDescent="0.25">
      <c r="L34" s="19"/>
    </row>
    <row r="35" spans="2:14" x14ac:dyDescent="0.25">
      <c r="L35" s="19"/>
    </row>
    <row r="36" spans="2:14" x14ac:dyDescent="0.25">
      <c r="B36" t="s">
        <v>96</v>
      </c>
      <c r="D36">
        <f>D3</f>
        <v>1</v>
      </c>
      <c r="E36" t="s">
        <v>35</v>
      </c>
      <c r="L36" s="19"/>
    </row>
    <row r="37" spans="2:14" x14ac:dyDescent="0.25">
      <c r="B37" t="s">
        <v>78</v>
      </c>
      <c r="C37">
        <v>52</v>
      </c>
      <c r="D37" s="20">
        <v>0.1</v>
      </c>
      <c r="E37" t="s">
        <v>84</v>
      </c>
      <c r="F37">
        <f>D37*D36</f>
        <v>0.1</v>
      </c>
      <c r="G37">
        <f>D36*D37*C37</f>
        <v>5.2</v>
      </c>
      <c r="L37" s="19"/>
    </row>
    <row r="38" spans="2:14" x14ac:dyDescent="0.25">
      <c r="B38" t="s">
        <v>80</v>
      </c>
      <c r="D38">
        <v>2</v>
      </c>
      <c r="E38" t="s">
        <v>82</v>
      </c>
      <c r="G38">
        <v>2</v>
      </c>
      <c r="L38" s="19"/>
    </row>
    <row r="39" spans="2:14" x14ac:dyDescent="0.25">
      <c r="L39" s="19">
        <f>SUM(G37:G38)</f>
        <v>7.2</v>
      </c>
    </row>
    <row r="40" spans="2:14" x14ac:dyDescent="0.25">
      <c r="L40" s="19"/>
    </row>
    <row r="41" spans="2:14" x14ac:dyDescent="0.25">
      <c r="L41" s="19"/>
    </row>
    <row r="42" spans="2:14" x14ac:dyDescent="0.25">
      <c r="J42" s="20"/>
      <c r="L42" s="19"/>
    </row>
    <row r="43" spans="2:14" x14ac:dyDescent="0.25">
      <c r="B43" t="s">
        <v>33</v>
      </c>
      <c r="D43">
        <f>D3</f>
        <v>1</v>
      </c>
      <c r="E43" t="s">
        <v>35</v>
      </c>
      <c r="L43" s="19"/>
    </row>
    <row r="44" spans="2:14" x14ac:dyDescent="0.25">
      <c r="B44" t="s">
        <v>78</v>
      </c>
      <c r="C44">
        <v>52</v>
      </c>
      <c r="D44">
        <v>0.4</v>
      </c>
      <c r="E44" t="s">
        <v>84</v>
      </c>
      <c r="F44">
        <f>D43*D44</f>
        <v>0.4</v>
      </c>
      <c r="G44">
        <f>D43*D44*C44</f>
        <v>20.8</v>
      </c>
      <c r="L44" s="19"/>
    </row>
    <row r="45" spans="2:14" x14ac:dyDescent="0.25">
      <c r="B45" t="s">
        <v>85</v>
      </c>
      <c r="D45">
        <v>1.6</v>
      </c>
      <c r="E45" t="s">
        <v>82</v>
      </c>
      <c r="G45">
        <f>D45*D43</f>
        <v>1.6</v>
      </c>
      <c r="L45" s="19"/>
    </row>
    <row r="46" spans="2:14" x14ac:dyDescent="0.25">
      <c r="D46" s="20"/>
      <c r="G46" s="20"/>
      <c r="L46" s="19"/>
    </row>
    <row r="47" spans="2:14" x14ac:dyDescent="0.25">
      <c r="J47" s="20">
        <f>SUM(G44:G46)/D43</f>
        <v>22.400000000000002</v>
      </c>
      <c r="K47" t="s">
        <v>82</v>
      </c>
      <c r="L47" s="19">
        <f>D43*J47</f>
        <v>22.400000000000002</v>
      </c>
      <c r="M47" t="s">
        <v>83</v>
      </c>
    </row>
    <row r="48" spans="2:14" x14ac:dyDescent="0.25">
      <c r="L48" s="19"/>
      <c r="N48" t="s">
        <v>82</v>
      </c>
    </row>
    <row r="49" spans="1:23" x14ac:dyDescent="0.25">
      <c r="A49" s="22"/>
      <c r="B49" s="23"/>
      <c r="C49" s="23"/>
      <c r="D49" s="23"/>
      <c r="E49" s="23"/>
      <c r="F49" s="24">
        <f>SUM(F4:F48)</f>
        <v>1.62</v>
      </c>
      <c r="G49" s="23">
        <f>SUM(G4:G48)</f>
        <v>155.24980822222221</v>
      </c>
      <c r="H49" s="23"/>
      <c r="I49" s="23"/>
      <c r="J49" s="23"/>
      <c r="K49" s="23"/>
      <c r="L49" s="25">
        <f>SUM(L3:L48)</f>
        <v>138.70925</v>
      </c>
      <c r="M49" s="26" t="s">
        <v>83</v>
      </c>
      <c r="N49" s="20">
        <f>L49/D43</f>
        <v>138.70925</v>
      </c>
    </row>
    <row r="52" spans="1:23" x14ac:dyDescent="0.25">
      <c r="E52" t="s">
        <v>39</v>
      </c>
      <c r="H52" t="s">
        <v>84</v>
      </c>
      <c r="M52" t="s">
        <v>3</v>
      </c>
    </row>
    <row r="53" spans="1:23" ht="15.75" x14ac:dyDescent="0.3">
      <c r="E53" s="1">
        <v>3</v>
      </c>
      <c r="F53" s="1">
        <v>6</v>
      </c>
      <c r="G53" s="1" t="s">
        <v>6</v>
      </c>
      <c r="H53" s="1">
        <f>E53/F53</f>
        <v>0.5</v>
      </c>
      <c r="I53" s="1">
        <f>H53+'UNGED. ELEMENTE'!N32</f>
        <v>0.5</v>
      </c>
      <c r="J53" s="4">
        <f>I53*M53</f>
        <v>21.5</v>
      </c>
      <c r="K53" s="1" t="s">
        <v>82</v>
      </c>
      <c r="L53" s="1"/>
      <c r="M53" s="1">
        <v>43</v>
      </c>
    </row>
    <row r="55" spans="1:23" ht="15.75" x14ac:dyDescent="0.3">
      <c r="A55" s="1"/>
      <c r="B55" s="1"/>
      <c r="C55" s="2" t="s">
        <v>0</v>
      </c>
      <c r="D55" s="1" t="s">
        <v>5</v>
      </c>
      <c r="E55" s="1" t="s">
        <v>37</v>
      </c>
      <c r="F55" s="1" t="s">
        <v>1</v>
      </c>
      <c r="G55" s="9" t="s">
        <v>38</v>
      </c>
      <c r="H55" s="13" t="s">
        <v>2</v>
      </c>
      <c r="I55" s="6" t="s">
        <v>19</v>
      </c>
      <c r="J55" s="6"/>
      <c r="K55" s="142" t="s">
        <v>10</v>
      </c>
      <c r="L55" s="142"/>
      <c r="M55" s="142"/>
      <c r="N55" s="7"/>
      <c r="O55" s="142" t="s">
        <v>9</v>
      </c>
      <c r="P55" s="142"/>
      <c r="Q55" s="142"/>
      <c r="R55" s="1"/>
      <c r="S55" s="1"/>
      <c r="T55" s="9" t="s">
        <v>43</v>
      </c>
      <c r="U55" s="11" t="s">
        <v>42</v>
      </c>
      <c r="V55" s="15" t="s">
        <v>49</v>
      </c>
      <c r="W55" s="1"/>
    </row>
    <row r="56" spans="1:23" ht="15.75" x14ac:dyDescent="0.3">
      <c r="A56" s="1"/>
      <c r="B56" s="1"/>
      <c r="C56" s="2"/>
      <c r="D56" s="1"/>
      <c r="E56" s="1"/>
      <c r="F56" s="1"/>
      <c r="G56" s="4"/>
      <c r="H56" s="12"/>
      <c r="I56" s="3"/>
      <c r="J56" s="3"/>
      <c r="K56" s="5"/>
      <c r="L56" s="5"/>
      <c r="M56" s="5"/>
      <c r="N56" s="1"/>
      <c r="O56" s="8" t="s">
        <v>39</v>
      </c>
      <c r="P56" s="143" t="s">
        <v>40</v>
      </c>
      <c r="Q56" s="143"/>
      <c r="R56" s="1"/>
      <c r="S56" s="1"/>
      <c r="T56" s="4"/>
      <c r="U56" s="14" t="s">
        <v>41</v>
      </c>
      <c r="V56" s="1"/>
      <c r="W56" s="1"/>
    </row>
    <row r="57" spans="1:23" ht="15.75" x14ac:dyDescent="0.3">
      <c r="A57" s="1" t="s">
        <v>102</v>
      </c>
      <c r="B57" s="1" t="s">
        <v>35</v>
      </c>
      <c r="C57" s="2">
        <v>1</v>
      </c>
      <c r="D57" s="1">
        <v>3.5</v>
      </c>
      <c r="E57" s="1">
        <v>1.3</v>
      </c>
      <c r="F57" s="1">
        <v>1.18</v>
      </c>
      <c r="G57" s="4">
        <f>C57*E57*F57*D57</f>
        <v>5.3689999999999998</v>
      </c>
      <c r="H57" s="12">
        <v>0.1</v>
      </c>
      <c r="I57" s="3">
        <v>2</v>
      </c>
      <c r="J57" s="3"/>
      <c r="K57" s="1"/>
      <c r="L57" s="1"/>
      <c r="M57" s="1"/>
      <c r="N57" s="1"/>
      <c r="O57" s="1">
        <v>3</v>
      </c>
      <c r="P57" s="1">
        <v>30</v>
      </c>
      <c r="Q57" s="1" t="s">
        <v>6</v>
      </c>
      <c r="R57" s="1">
        <f>O57/P57</f>
        <v>0.1</v>
      </c>
      <c r="S57" s="1">
        <f>R57+N57</f>
        <v>0.1</v>
      </c>
      <c r="T57" s="4">
        <f t="shared" ref="T57:T61" si="0">S57*W57</f>
        <v>5</v>
      </c>
      <c r="U57" s="10">
        <f t="shared" ref="U57:U61" si="1">G57+H57+T57+I57</f>
        <v>12.468999999999999</v>
      </c>
      <c r="V57" s="1">
        <f>Y54*U57</f>
        <v>0</v>
      </c>
      <c r="W57" s="1">
        <v>50</v>
      </c>
    </row>
    <row r="58" spans="1:23" ht="15.75" x14ac:dyDescent="0.3">
      <c r="A58" s="1" t="s">
        <v>103</v>
      </c>
      <c r="B58" s="1" t="s">
        <v>35</v>
      </c>
      <c r="C58" s="2">
        <f>1/0.45*0.03*0.05</f>
        <v>3.3333333333333335E-3</v>
      </c>
      <c r="D58" s="1">
        <v>450</v>
      </c>
      <c r="E58" s="1">
        <v>1.1200000000000001</v>
      </c>
      <c r="F58" s="1">
        <v>1.18</v>
      </c>
      <c r="G58" s="4">
        <f t="shared" ref="G58:G61" si="2">C58*E58*F58*D58</f>
        <v>1.9823999999999999</v>
      </c>
      <c r="H58" s="12">
        <v>0.3</v>
      </c>
      <c r="I58" s="3"/>
      <c r="J58" s="3"/>
      <c r="K58" s="1"/>
      <c r="L58" s="1"/>
      <c r="M58" s="1"/>
      <c r="N58" s="1"/>
      <c r="O58" s="1">
        <v>3</v>
      </c>
      <c r="P58" s="1">
        <v>20</v>
      </c>
      <c r="Q58" s="1" t="s">
        <v>6</v>
      </c>
      <c r="R58" s="1">
        <f t="shared" ref="R58:R60" si="3">O58/P58</f>
        <v>0.15</v>
      </c>
      <c r="S58" s="1">
        <f>R58+N58</f>
        <v>0.15</v>
      </c>
      <c r="T58" s="4">
        <f t="shared" si="0"/>
        <v>7.5</v>
      </c>
      <c r="U58" s="10">
        <f t="shared" si="1"/>
        <v>9.7823999999999991</v>
      </c>
      <c r="V58" s="1">
        <f>Y54*U58</f>
        <v>0</v>
      </c>
      <c r="W58" s="1">
        <v>50</v>
      </c>
    </row>
    <row r="59" spans="1:23" ht="15.75" x14ac:dyDescent="0.3">
      <c r="A59" s="1" t="s">
        <v>110</v>
      </c>
      <c r="B59" s="1" t="s">
        <v>35</v>
      </c>
      <c r="C59" s="2">
        <v>1</v>
      </c>
      <c r="D59" s="1">
        <v>35</v>
      </c>
      <c r="E59" s="1">
        <v>1.1499999999999999</v>
      </c>
      <c r="F59" s="1">
        <v>1.18</v>
      </c>
      <c r="G59" s="4">
        <f t="shared" si="2"/>
        <v>47.49499999999999</v>
      </c>
      <c r="H59" s="12">
        <v>0.25</v>
      </c>
      <c r="I59" s="3"/>
      <c r="J59" s="3"/>
      <c r="K59" s="1"/>
      <c r="L59" s="1"/>
      <c r="M59" s="1"/>
      <c r="N59" s="1"/>
      <c r="O59" s="1">
        <v>3</v>
      </c>
      <c r="P59" s="1">
        <v>2.5</v>
      </c>
      <c r="Q59" s="1" t="s">
        <v>6</v>
      </c>
      <c r="R59" s="1">
        <f t="shared" si="3"/>
        <v>1.2</v>
      </c>
      <c r="S59" s="1">
        <f t="shared" ref="S59:S60" si="4">R59+N59</f>
        <v>1.2</v>
      </c>
      <c r="T59" s="4">
        <f t="shared" si="0"/>
        <v>60</v>
      </c>
      <c r="U59" s="10">
        <f t="shared" si="1"/>
        <v>107.74499999999999</v>
      </c>
      <c r="V59" s="1">
        <f>Y53*U59</f>
        <v>0</v>
      </c>
      <c r="W59" s="1">
        <v>50</v>
      </c>
    </row>
    <row r="60" spans="1:23" ht="15.75" x14ac:dyDescent="0.3">
      <c r="A60" s="1" t="s">
        <v>104</v>
      </c>
      <c r="B60" s="1" t="s">
        <v>35</v>
      </c>
      <c r="C60" s="2">
        <v>1</v>
      </c>
      <c r="D60" s="1">
        <v>14</v>
      </c>
      <c r="E60" s="1">
        <v>1.1499999999999999</v>
      </c>
      <c r="F60" s="1">
        <v>1.18</v>
      </c>
      <c r="G60" s="4">
        <f t="shared" si="2"/>
        <v>18.997999999999998</v>
      </c>
      <c r="H60" s="12">
        <v>0.25</v>
      </c>
      <c r="I60" s="3"/>
      <c r="J60" s="3"/>
      <c r="K60" s="1"/>
      <c r="L60" s="1"/>
      <c r="M60" s="1"/>
      <c r="N60" s="1"/>
      <c r="O60" s="1">
        <v>3</v>
      </c>
      <c r="P60" s="1">
        <v>2.5</v>
      </c>
      <c r="Q60" s="1" t="s">
        <v>6</v>
      </c>
      <c r="R60" s="1">
        <f t="shared" si="3"/>
        <v>1.2</v>
      </c>
      <c r="S60" s="1">
        <f t="shared" si="4"/>
        <v>1.2</v>
      </c>
      <c r="T60" s="4">
        <f t="shared" si="0"/>
        <v>60</v>
      </c>
      <c r="U60" s="10">
        <f t="shared" si="1"/>
        <v>79.24799999999999</v>
      </c>
      <c r="V60" s="1">
        <f>Y54*U60</f>
        <v>0</v>
      </c>
      <c r="W60" s="1">
        <v>50</v>
      </c>
    </row>
    <row r="61" spans="1:23" ht="15.75" x14ac:dyDescent="0.3">
      <c r="A61" s="1" t="s">
        <v>105</v>
      </c>
      <c r="B61" s="1"/>
      <c r="C61" s="2">
        <v>1</v>
      </c>
      <c r="D61" s="1">
        <v>8.5</v>
      </c>
      <c r="E61" s="1">
        <v>1.1499999999999999</v>
      </c>
      <c r="F61" s="1">
        <v>1.03</v>
      </c>
      <c r="G61" s="4">
        <f t="shared" si="2"/>
        <v>10.068249999999999</v>
      </c>
      <c r="H61" s="12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4">
        <f t="shared" si="0"/>
        <v>0</v>
      </c>
      <c r="U61" s="10">
        <f t="shared" si="1"/>
        <v>10.068249999999999</v>
      </c>
      <c r="V61" s="1">
        <f>Y55*U61</f>
        <v>0</v>
      </c>
      <c r="W61" s="1"/>
    </row>
    <row r="62" spans="1:23" ht="15.75" x14ac:dyDescent="0.3">
      <c r="A62" s="1"/>
      <c r="B62" s="1"/>
      <c r="C62" s="2"/>
      <c r="D62" s="1"/>
      <c r="E62" s="1"/>
      <c r="F62" s="1"/>
      <c r="G62" s="4"/>
      <c r="H62" s="12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4"/>
      <c r="U62" s="10"/>
      <c r="V62" s="1"/>
      <c r="W62" s="1"/>
    </row>
    <row r="63" spans="1:23" ht="15.75" x14ac:dyDescent="0.3">
      <c r="A63" s="1"/>
      <c r="B63" s="1"/>
      <c r="C63" s="2"/>
      <c r="D63" s="1"/>
      <c r="E63" s="1"/>
      <c r="F63" s="1"/>
      <c r="G63" s="4"/>
      <c r="H63" s="12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4"/>
      <c r="U63" s="10"/>
      <c r="V63" s="1"/>
      <c r="W63" s="1"/>
    </row>
  </sheetData>
  <mergeCells count="3">
    <mergeCell ref="K55:M55"/>
    <mergeCell ref="O55:Q55"/>
    <mergeCell ref="P56:Q5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Material</vt:lpstr>
      <vt:lpstr>BM-L</vt:lpstr>
      <vt:lpstr>BGK</vt:lpstr>
      <vt:lpstr>Abbruch</vt:lpstr>
      <vt:lpstr>Sichtdach-Aufbau-Bestand</vt:lpstr>
      <vt:lpstr>Sichtdachdach-Aufbau</vt:lpstr>
      <vt:lpstr>Dachelemente</vt:lpstr>
      <vt:lpstr>Dachkonst.konv.</vt:lpstr>
      <vt:lpstr>Dachaufbau</vt:lpstr>
      <vt:lpstr>AW IW</vt:lpstr>
      <vt:lpstr>Fassade</vt:lpstr>
      <vt:lpstr>Dachdecker Spengler</vt:lpstr>
      <vt:lpstr>TramDE</vt:lpstr>
      <vt:lpstr>DE massiv</vt:lpstr>
      <vt:lpstr>Balkon</vt:lpstr>
      <vt:lpstr>Zaun Brücke</vt:lpstr>
      <vt:lpstr>Baumeisterarb.</vt:lpstr>
      <vt:lpstr>div.Kalk</vt:lpstr>
      <vt:lpstr>AUFSP.D</vt:lpstr>
      <vt:lpstr>GED. ELEMENTE</vt:lpstr>
      <vt:lpstr>UNGED. ELEMENTE</vt:lpstr>
      <vt:lpstr>Riegelwände</vt:lpstr>
      <vt:lpstr>Innenwände</vt:lpstr>
      <vt:lpstr>Tramdecke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Natalie Frischmann</cp:lastModifiedBy>
  <cp:lastPrinted>2025-02-18T13:07:29Z</cp:lastPrinted>
  <dcterms:created xsi:type="dcterms:W3CDTF">2021-02-11T10:19:27Z</dcterms:created>
  <dcterms:modified xsi:type="dcterms:W3CDTF">2026-05-27T11:39:19Z</dcterms:modified>
</cp:coreProperties>
</file>