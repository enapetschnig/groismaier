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fo\Documents\01_Firma\3_ANGEBOTE\2026 Angebote\"/>
    </mc:Choice>
  </mc:AlternateContent>
  <xr:revisionPtr revIDLastSave="0" documentId="13_ncr:1_{18473DCE-7822-4484-9929-8453DF25A0BD}" xr6:coauthVersionLast="47" xr6:coauthVersionMax="47" xr10:uidLastSave="{00000000-0000-0000-0000-000000000000}"/>
  <bookViews>
    <workbookView xWindow="1170" yWindow="1170" windowWidth="28800" windowHeight="15345" xr2:uid="{00000000-000D-0000-FFFF-FFFF00000000}"/>
  </bookViews>
  <sheets>
    <sheet name="Deckblatt" sheetId="4" r:id="rId1"/>
    <sheet name="Allg. Vertragsbedingungen" sheetId="5" r:id="rId2"/>
    <sheet name="Angebot" sheetId="1" r:id="rId3"/>
  </sheets>
  <definedNames>
    <definedName name="_xlnm.Print_Area" localSheetId="0">Deckblatt!$A$1:$G$57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9" i="1"/>
  <c r="F13" i="1" s="1"/>
  <c r="F16" i="1"/>
  <c r="F21" i="1" s="1"/>
  <c r="F17" i="1"/>
  <c r="F18" i="1"/>
  <c r="F19" i="1"/>
  <c r="F20" i="1"/>
  <c r="F44" i="1"/>
  <c r="F45" i="1"/>
  <c r="F46" i="1"/>
  <c r="F47" i="1"/>
  <c r="F48" i="1"/>
  <c r="F49" i="1"/>
  <c r="F50" i="1"/>
  <c r="F51" i="1"/>
  <c r="F43" i="1"/>
  <c r="F52" i="1" s="1"/>
  <c r="F26" i="1"/>
  <c r="F27" i="1"/>
  <c r="F28" i="1"/>
  <c r="F29" i="1"/>
  <c r="F30" i="1"/>
  <c r="F31" i="1"/>
  <c r="F32" i="1"/>
  <c r="F33" i="1"/>
  <c r="F34" i="1"/>
  <c r="F25" i="1"/>
  <c r="F35" i="1" l="1"/>
  <c r="F70" i="1" s="1"/>
  <c r="F71" i="1"/>
  <c r="F69" i="1"/>
  <c r="F68" i="1"/>
  <c r="F72" i="1" l="1"/>
  <c r="A111" i="1" l="1"/>
  <c r="B69" i="1" l="1"/>
  <c r="B62" i="1" l="1"/>
  <c r="A62" i="1"/>
  <c r="A72" i="1" s="1"/>
  <c r="A52" i="1"/>
  <c r="A71" i="1" s="1"/>
  <c r="A35" i="1"/>
  <c r="A70" i="1" s="1"/>
  <c r="A13" i="1"/>
  <c r="A68" i="1" s="1"/>
  <c r="B72" i="1" l="1"/>
  <c r="B71" i="1"/>
  <c r="B70" i="1"/>
  <c r="B68" i="1"/>
  <c r="F73" i="1" l="1"/>
  <c r="F95" i="1" s="1"/>
  <c r="F96" i="1" l="1"/>
  <c r="F98" i="1"/>
</calcChain>
</file>

<file path=xl/sharedStrings.xml><?xml version="1.0" encoding="utf-8"?>
<sst xmlns="http://schemas.openxmlformats.org/spreadsheetml/2006/main" count="152" uniqueCount="135">
  <si>
    <t>Pos.</t>
  </si>
  <si>
    <t>Menge</t>
  </si>
  <si>
    <t>Gesamtpreis</t>
  </si>
  <si>
    <t>Sehr geehrte Damen und Herren,</t>
  </si>
  <si>
    <t>zuzügl. 20% MwSt.</t>
  </si>
  <si>
    <t>PA</t>
  </si>
  <si>
    <t>m2</t>
  </si>
  <si>
    <t>€</t>
  </si>
  <si>
    <t>€/m2</t>
  </si>
  <si>
    <t>€/m3</t>
  </si>
  <si>
    <t>0101</t>
  </si>
  <si>
    <t>01</t>
  </si>
  <si>
    <t>05</t>
  </si>
  <si>
    <t>0501</t>
  </si>
  <si>
    <t>Riegelwände außen 16cm</t>
  </si>
  <si>
    <t>außen 15mm DWD und innen 15mm OSB, dazw. Glaswolle 16cm</t>
  </si>
  <si>
    <t>mit lambda 0,038</t>
  </si>
  <si>
    <t>Verkleben der Riegelwände</t>
  </si>
  <si>
    <t>0502</t>
  </si>
  <si>
    <t>0503</t>
  </si>
  <si>
    <t>Riegelwände+Tramdecken</t>
  </si>
  <si>
    <t>Leimbinder in Riegelwände</t>
  </si>
  <si>
    <t>0504</t>
  </si>
  <si>
    <t xml:space="preserve">Deckenkonstruktion </t>
  </si>
  <si>
    <t>Holzträme in Schnittholz, Stärke der Träme lt. Statischen</t>
  </si>
  <si>
    <t>Erfordernissen, Annahme h=20cm, dazw. Glaswolle 20cm</t>
  </si>
  <si>
    <t>mit lambda 0,038, im Innenbereich beidseitig mit OSB</t>
  </si>
  <si>
    <t>zu Außenbereich mit unten einer DWD -Platte</t>
  </si>
  <si>
    <t>Riegelwände + Tramdecke</t>
  </si>
  <si>
    <t>0505</t>
  </si>
  <si>
    <t>Träme von unten auf Sicht.</t>
  </si>
  <si>
    <t>Holzträme SH darauf 25mm Sichtschalung, geh., N+F, ohne Dämmung</t>
  </si>
  <si>
    <t>ZUSAMMENSTELLUNG</t>
  </si>
  <si>
    <t>Betreff:</t>
  </si>
  <si>
    <t>Angebot Zimmermannsarbeiten</t>
  </si>
  <si>
    <t>übermitteln Ihnen in der Beilage unser Kostenoffert.</t>
  </si>
  <si>
    <t>Wir hoffen, dass unser Angebot Ihren Vorstellungen entspricht und würden uns freuen,</t>
  </si>
  <si>
    <t>Ihren geschätzten Auftrag zu erhalten.</t>
  </si>
  <si>
    <t>Im Falle einer Auftragserteilung sichern wir Ihnen eine termingerechte und fachlich</t>
  </si>
  <si>
    <t>einwandfreie Ausführung der Arbeiten zu.</t>
  </si>
  <si>
    <t xml:space="preserve">Mit freundlichen Grüßen </t>
  </si>
  <si>
    <t>ANGEBOT Zimmermansarbeiten</t>
  </si>
  <si>
    <t>Std.</t>
  </si>
  <si>
    <t>03</t>
  </si>
  <si>
    <t>0301</t>
  </si>
  <si>
    <t>0302</t>
  </si>
  <si>
    <t>VE</t>
  </si>
  <si>
    <t>Regieleistungen</t>
  </si>
  <si>
    <t>Regiestunden</t>
  </si>
  <si>
    <t>Material divers</t>
  </si>
  <si>
    <t>Die Regieleistungen dienen als Preisauskunft für die Arbeiten,</t>
  </si>
  <si>
    <t>die den Arbeitsumfang von diesem Angebot übersteigen.</t>
  </si>
  <si>
    <t>Zur Information möchten wir Ihnen unseren Stundensatz bekanntgeben.</t>
  </si>
  <si>
    <t>Zimmermannsarbeiten</t>
  </si>
  <si>
    <t>Angebotspreis in EUR (brutto)</t>
  </si>
  <si>
    <t>Gesamtsumme in EUR (netto)</t>
  </si>
  <si>
    <t>Zahlungsbedingungen:</t>
  </si>
  <si>
    <t>Zahlungsplan:</t>
  </si>
  <si>
    <t>Ort</t>
  </si>
  <si>
    <t>Datum</t>
  </si>
  <si>
    <t>Allgemeine Vertagsbedingungen:</t>
  </si>
  <si>
    <t>Aufmaß und Abrechnung erfolgt nach tatsächlichem Aufwand und den entsprechnenden Ö-Normen.</t>
  </si>
  <si>
    <t>Preiserhöhungen unserer Lieferanten werden in Verrechnung gebracht.</t>
  </si>
  <si>
    <t>Eine ungehinderte Baustellenzufahrt samt Kran für Schwerfahrtzeuge muss bauseits gewährleistet sein.</t>
  </si>
  <si>
    <t xml:space="preserve">Kosten für Strom und Bauwasser, sowie Entsorgung des während der Bauarbeiten anfallenden Mülls </t>
  </si>
  <si>
    <t>werden bauseits übernommen.</t>
  </si>
  <si>
    <t>Die Massen in unserem Angebot sind nur annähernd ermittelt und können sich bei der Ausführung erhöhen</t>
  </si>
  <si>
    <t>oder vermindern.</t>
  </si>
  <si>
    <t>Es werden bauabschnittsweise Teilrechnungen gestellt siehe Zahlungsplan.</t>
  </si>
  <si>
    <t>Lieferkosten werden nach tatsächlichem Aufwand verrechnet.</t>
  </si>
  <si>
    <t>Skonto ist nur abzugsfähig, wenn alle Rechnungen innerhalb der vereinbarten Frist bezahlt werden.</t>
  </si>
  <si>
    <t>ohne Holzschutz, also naturbelassen angeboten.</t>
  </si>
  <si>
    <t xml:space="preserve">Wenn nicht eigens angeführt, werden alle im Angebot angeführen Hölzer </t>
  </si>
  <si>
    <t xml:space="preserve">Mauerbank: Bei allen außenliegenden Mauerkronen ist bauseits ein Glattstrich bzw. Schließrost </t>
  </si>
  <si>
    <t>herzustellen, um die erforderliche Verklebung herstellen zu können.</t>
  </si>
  <si>
    <t>bauseits aufzubringen, ansonsten sind Schutzabdeckmaßnahmen bauseits vorzusehen.</t>
  </si>
  <si>
    <t>vorzumauern, um die erforderliche Verklebung herstellen zu können.</t>
  </si>
  <si>
    <t xml:space="preserve">Die Traufpfetten bzw. auch bei Pultdächern die Firstpfette sind beim Sichtdachstuhl bauseits </t>
  </si>
  <si>
    <t>Die Dachdeckung über den Unterdächern ist grundsätzlich innerhalb von 2 Monaten</t>
  </si>
  <si>
    <t>0102</t>
  </si>
  <si>
    <t>0103</t>
  </si>
  <si>
    <t>14 Tage netto.</t>
  </si>
  <si>
    <t>An</t>
  </si>
  <si>
    <t>0104</t>
  </si>
  <si>
    <t>02</t>
  </si>
  <si>
    <t>0203</t>
  </si>
  <si>
    <t>0204</t>
  </si>
  <si>
    <t>0205</t>
  </si>
  <si>
    <t>0206</t>
  </si>
  <si>
    <t>04</t>
  </si>
  <si>
    <t>0401</t>
  </si>
  <si>
    <t>0402</t>
  </si>
  <si>
    <t>0403</t>
  </si>
  <si>
    <t>Mobil: 0699/191 68 685,  E-Mail: info@holzbau-lutz.at</t>
  </si>
  <si>
    <t>*nur EH-Preis*</t>
  </si>
  <si>
    <t>20 %   3. Teilzahlung bei Schlussrechnung.</t>
  </si>
  <si>
    <t>50 %   1. Teilzahlung bei Auftragserteilung.</t>
  </si>
  <si>
    <t>30%    2. Teilzahlung vor Lieferung.</t>
  </si>
  <si>
    <t>Es wird die Önorm B2110 vereinbart.</t>
  </si>
  <si>
    <t>0207</t>
  </si>
  <si>
    <t>0303</t>
  </si>
  <si>
    <t>Preise gelten ab Werk 6642 Stanzach Am Sportplatz 3.</t>
  </si>
  <si>
    <t>0304</t>
  </si>
  <si>
    <t>0305</t>
  </si>
  <si>
    <t>0306</t>
  </si>
  <si>
    <t>0307</t>
  </si>
  <si>
    <t>0308</t>
  </si>
  <si>
    <t>0309</t>
  </si>
  <si>
    <t>0310</t>
  </si>
  <si>
    <t>11</t>
  </si>
  <si>
    <t>1101</t>
  </si>
  <si>
    <t>1102</t>
  </si>
  <si>
    <t>Unser Angebot ist freibleibend und ab Angebotsdatum 1 Woche gültig.</t>
  </si>
  <si>
    <t xml:space="preserve">Holzbau Lutz OG, Am Sportplatz 3, 6642 Stanzach </t>
  </si>
  <si>
    <t>Holzbau Lutz OG</t>
  </si>
  <si>
    <t>Holzbau Lutz OG,  6642  Stanzach,  Am Sportplatz 3</t>
  </si>
  <si>
    <t>XXX</t>
  </si>
  <si>
    <t>BVH - XXX</t>
  </si>
  <si>
    <t>firmenmäßige Unterzeichnung</t>
  </si>
  <si>
    <t>Unterschrift Kunde</t>
  </si>
  <si>
    <t xml:space="preserve">Im Falle einer Auftragserteilung, der oben aufgelisteten Leistungen, </t>
  </si>
  <si>
    <t>Herzlichen Dank!</t>
  </si>
  <si>
    <t>bitten wir Sie dieses Angebot zu unterfertigen und an uns zu retounieren.</t>
  </si>
  <si>
    <t>Auftragsbestätigung:</t>
  </si>
  <si>
    <t>EH</t>
  </si>
  <si>
    <t>Preis / EH</t>
  </si>
  <si>
    <t xml:space="preserve">BEZEICHNUNG </t>
  </si>
  <si>
    <t>0404</t>
  </si>
  <si>
    <t>0405</t>
  </si>
  <si>
    <t>0406</t>
  </si>
  <si>
    <t>0407</t>
  </si>
  <si>
    <t>0408</t>
  </si>
  <si>
    <t>0409</t>
  </si>
  <si>
    <t xml:space="preserve">Wir danken für die Einladung zur Angebotslegung bei o.a. Bauvorhaben und </t>
  </si>
  <si>
    <t xml:space="preserve">    Stanzach, am XX.XX.2026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</si>
</sst>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&quot;€&quot;_-;\-* #,##0.00\ &quot;€&quot;_-;_-* &quot;-&quot;??\ &quot;€&quot;_-;_-@_-"/>
    <numFmt numFmtId="165" formatCode="#,##0.00\ &quot;€&quot;"/>
  </numFmts>
  <fonts count="26" x14ac:knownFonts="1">
    <font>
      <sz val="11"/>
      <color theme="1"/>
      <name val="Calibri"/>
      <family val="2"/>
      <scheme val="minor"/>
    </font>
    <font>
      <sz val="9"/>
      <color theme="1"/>
      <name val="Century Gothic"/>
      <family val="2"/>
    </font>
    <font>
      <sz val="9"/>
      <color theme="1"/>
      <name val="Century Gothic"/>
      <family val="2"/>
    </font>
    <font>
      <sz val="10"/>
      <color theme="1"/>
      <name val="Century Gothic"/>
      <family val="2"/>
    </font>
    <font>
      <sz val="24"/>
      <color theme="1" tint="0.499984740745262"/>
      <name val="Century Gothic"/>
      <family val="2"/>
    </font>
    <font>
      <u/>
      <vertAlign val="superscript"/>
      <sz val="8"/>
      <color rgb="FF808080"/>
      <name val="Century Gothic"/>
      <family val="2"/>
    </font>
    <font>
      <u/>
      <vertAlign val="superscript"/>
      <sz val="9"/>
      <color rgb="FF808080"/>
      <name val="Century Gothic"/>
      <family val="2"/>
    </font>
    <font>
      <sz val="8"/>
      <color theme="1" tint="0.499984740745262"/>
      <name val="Century Gothic"/>
      <family val="2"/>
    </font>
    <font>
      <u/>
      <sz val="8"/>
      <color theme="1" tint="0.499984740745262"/>
      <name val="Century Gothic"/>
      <family val="2"/>
    </font>
    <font>
      <b/>
      <u/>
      <sz val="10"/>
      <color theme="1"/>
      <name val="Century Gothic"/>
      <family val="2"/>
    </font>
    <font>
      <b/>
      <sz val="10"/>
      <color theme="1"/>
      <name val="Century Gothic"/>
      <family val="2"/>
    </font>
    <font>
      <sz val="9"/>
      <color theme="1"/>
      <name val="Century Gothic"/>
      <family val="2"/>
    </font>
    <font>
      <u/>
      <sz val="12"/>
      <color theme="1"/>
      <name val="Century Gothic"/>
      <family val="2"/>
    </font>
    <font>
      <sz val="9"/>
      <color theme="1"/>
      <name val="Calibri"/>
      <family val="2"/>
    </font>
    <font>
      <sz val="9"/>
      <name val="Century Gothic"/>
      <family val="2"/>
    </font>
    <font>
      <sz val="10"/>
      <name val="Century Gothic"/>
      <family val="2"/>
    </font>
    <font>
      <u/>
      <sz val="9"/>
      <color theme="1"/>
      <name val="Century Gothic"/>
      <family val="2"/>
    </font>
    <font>
      <sz val="7"/>
      <color theme="1"/>
      <name val="Century Gothic"/>
      <family val="2"/>
    </font>
    <font>
      <sz val="8"/>
      <name val="Calibri"/>
      <family val="2"/>
      <scheme val="minor"/>
    </font>
    <font>
      <u/>
      <sz val="12"/>
      <name val="Century Gothic"/>
      <family val="2"/>
    </font>
    <font>
      <b/>
      <u/>
      <sz val="9"/>
      <name val="Century Gothic"/>
      <family val="2"/>
    </font>
    <font>
      <b/>
      <sz val="9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u/>
      <sz val="9"/>
      <name val="Century Gothic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</borders>
  <cellStyleXfs count="1">
    <xf numFmtId="0" fontId="0" fillId="0" borderId="0"/>
  </cellStyleXfs>
  <cellXfs count="154">
    <xf numFmtId="0" fontId="0" fillId="0" borderId="0" xfId="0"/>
    <xf numFmtId="0" fontId="3" fillId="0" borderId="0" xfId="0" applyFont="1"/>
    <xf numFmtId="4" fontId="3" fillId="0" borderId="0" xfId="0" applyNumberFormat="1" applyFont="1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 vertical="top"/>
    </xf>
    <xf numFmtId="0" fontId="8" fillId="0" borderId="0" xfId="0" applyFont="1" applyAlignment="1">
      <alignment horizontal="left" vertical="top"/>
    </xf>
    <xf numFmtId="0" fontId="3" fillId="0" borderId="0" xfId="0" applyFont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4" fontId="10" fillId="0" borderId="0" xfId="0" applyNumberFormat="1" applyFont="1" applyAlignment="1">
      <alignment horizontal="right" vertical="center"/>
    </xf>
    <xf numFmtId="164" fontId="10" fillId="0" borderId="0" xfId="0" applyNumberFormat="1" applyFont="1" applyAlignment="1">
      <alignment horizontal="left" vertical="center"/>
    </xf>
    <xf numFmtId="164" fontId="10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" fontId="3" fillId="0" borderId="0" xfId="0" applyNumberFormat="1" applyFont="1" applyAlignment="1">
      <alignment horizontal="right" vertical="center"/>
    </xf>
    <xf numFmtId="164" fontId="3" fillId="0" borderId="0" xfId="0" applyNumberFormat="1" applyFont="1" applyAlignment="1">
      <alignment horizontal="center" vertical="center"/>
    </xf>
    <xf numFmtId="164" fontId="3" fillId="0" borderId="0" xfId="0" applyNumberFormat="1" applyFont="1" applyAlignment="1">
      <alignment horizontal="left" vertical="center"/>
    </xf>
    <xf numFmtId="4" fontId="3" fillId="0" borderId="0" xfId="0" applyNumberFormat="1" applyFont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10" fillId="0" borderId="0" xfId="0" applyFont="1" applyAlignment="1">
      <alignment vertical="top"/>
    </xf>
    <xf numFmtId="49" fontId="10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11" fillId="0" borderId="0" xfId="0" applyFont="1" applyAlignment="1">
      <alignment horizontal="right"/>
    </xf>
    <xf numFmtId="0" fontId="11" fillId="0" borderId="0" xfId="0" applyFont="1"/>
    <xf numFmtId="4" fontId="11" fillId="0" borderId="0" xfId="0" applyNumberFormat="1" applyFont="1"/>
    <xf numFmtId="0" fontId="11" fillId="0" borderId="0" xfId="0" applyFont="1" applyAlignment="1">
      <alignment horizontal="left" vertical="center"/>
    </xf>
    <xf numFmtId="4" fontId="11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left" vertical="center"/>
    </xf>
    <xf numFmtId="164" fontId="11" fillId="0" borderId="0" xfId="0" applyNumberFormat="1" applyFont="1" applyAlignment="1">
      <alignment horizontal="center" vertical="center"/>
    </xf>
    <xf numFmtId="0" fontId="11" fillId="0" borderId="0" xfId="0" applyFont="1" applyAlignment="1">
      <alignment vertical="center"/>
    </xf>
    <xf numFmtId="4" fontId="11" fillId="0" borderId="0" xfId="0" applyNumberFormat="1" applyFont="1" applyAlignment="1">
      <alignment vertical="center"/>
    </xf>
    <xf numFmtId="164" fontId="13" fillId="0" borderId="0" xfId="0" applyNumberFormat="1" applyFont="1" applyAlignment="1">
      <alignment horizontal="left" vertical="center"/>
    </xf>
    <xf numFmtId="49" fontId="11" fillId="0" borderId="0" xfId="0" applyNumberFormat="1" applyFont="1" applyAlignment="1">
      <alignment horizontal="left" vertical="top"/>
    </xf>
    <xf numFmtId="0" fontId="15" fillId="0" borderId="0" xfId="0" applyFont="1"/>
    <xf numFmtId="0" fontId="14" fillId="0" borderId="0" xfId="0" applyFont="1"/>
    <xf numFmtId="4" fontId="14" fillId="0" borderId="0" xfId="0" applyNumberFormat="1" applyFont="1"/>
    <xf numFmtId="0" fontId="1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4" fontId="11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/>
    </xf>
    <xf numFmtId="4" fontId="11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1" fontId="11" fillId="0" borderId="0" xfId="0" applyNumberFormat="1" applyFont="1" applyAlignment="1">
      <alignment horizontal="center"/>
    </xf>
    <xf numFmtId="1" fontId="11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49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left" vertical="center"/>
    </xf>
    <xf numFmtId="4" fontId="3" fillId="0" borderId="14" xfId="0" applyNumberFormat="1" applyFont="1" applyBorder="1" applyAlignment="1">
      <alignment horizontal="right" vertical="center"/>
    </xf>
    <xf numFmtId="164" fontId="3" fillId="0" borderId="14" xfId="0" applyNumberFormat="1" applyFont="1" applyBorder="1" applyAlignment="1">
      <alignment horizontal="left" vertical="center"/>
    </xf>
    <xf numFmtId="164" fontId="3" fillId="0" borderId="14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4" fontId="15" fillId="0" borderId="0" xfId="0" applyNumberFormat="1" applyFont="1"/>
    <xf numFmtId="0" fontId="15" fillId="0" borderId="0" xfId="0" applyFont="1" applyAlignment="1">
      <alignment horizontal="left" vertical="center"/>
    </xf>
    <xf numFmtId="0" fontId="20" fillId="0" borderId="0" xfId="0" applyFont="1"/>
    <xf numFmtId="0" fontId="14" fillId="0" borderId="2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4" fontId="14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horizontal="center" vertical="center"/>
    </xf>
    <xf numFmtId="49" fontId="21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4" fontId="14" fillId="0" borderId="0" xfId="0" applyNumberFormat="1" applyFont="1" applyAlignment="1">
      <alignment vertical="center"/>
    </xf>
    <xf numFmtId="0" fontId="15" fillId="0" borderId="0" xfId="0" applyFont="1" applyAlignment="1">
      <alignment vertical="center"/>
    </xf>
    <xf numFmtId="49" fontId="14" fillId="0" borderId="0" xfId="0" applyNumberFormat="1" applyFont="1" applyAlignment="1">
      <alignment horizontal="left" vertical="center"/>
    </xf>
    <xf numFmtId="164" fontId="14" fillId="0" borderId="0" xfId="0" applyNumberFormat="1" applyFont="1" applyAlignment="1">
      <alignment horizontal="center" vertical="center"/>
    </xf>
    <xf numFmtId="4" fontId="14" fillId="0" borderId="0" xfId="0" applyNumberFormat="1" applyFont="1" applyAlignment="1">
      <alignment horizontal="right" vertical="center"/>
    </xf>
    <xf numFmtId="49" fontId="14" fillId="0" borderId="13" xfId="0" applyNumberFormat="1" applyFont="1" applyBorder="1" applyAlignment="1">
      <alignment horizontal="center" vertical="center"/>
    </xf>
    <xf numFmtId="49" fontId="14" fillId="0" borderId="13" xfId="0" applyNumberFormat="1" applyFont="1" applyBorder="1" applyAlignment="1">
      <alignment horizontal="left" vertical="center"/>
    </xf>
    <xf numFmtId="4" fontId="14" fillId="0" borderId="13" xfId="0" applyNumberFormat="1" applyFont="1" applyBorder="1" applyAlignment="1">
      <alignment horizontal="right" vertical="center"/>
    </xf>
    <xf numFmtId="0" fontId="14" fillId="0" borderId="13" xfId="0" applyFont="1" applyBorder="1" applyAlignment="1">
      <alignment horizontal="left" vertical="center"/>
    </xf>
    <xf numFmtId="164" fontId="14" fillId="0" borderId="13" xfId="0" applyNumberFormat="1" applyFont="1" applyBorder="1" applyAlignment="1">
      <alignment horizontal="center" vertical="center"/>
    </xf>
    <xf numFmtId="49" fontId="14" fillId="0" borderId="0" xfId="0" applyNumberFormat="1" applyFont="1" applyAlignment="1">
      <alignment horizontal="center" vertical="center"/>
    </xf>
    <xf numFmtId="164" fontId="14" fillId="0" borderId="0" xfId="0" applyNumberFormat="1" applyFont="1" applyAlignment="1">
      <alignment horizontal="left" vertical="center"/>
    </xf>
    <xf numFmtId="49" fontId="21" fillId="0" borderId="0" xfId="0" applyNumberFormat="1" applyFont="1" applyAlignment="1">
      <alignment horizontal="left" vertical="center"/>
    </xf>
    <xf numFmtId="49" fontId="14" fillId="0" borderId="0" xfId="0" applyNumberFormat="1" applyFont="1" applyAlignment="1">
      <alignment horizontal="left" vertical="top"/>
    </xf>
    <xf numFmtId="49" fontId="14" fillId="0" borderId="14" xfId="0" applyNumberFormat="1" applyFont="1" applyBorder="1" applyAlignment="1">
      <alignment horizontal="center" vertical="center"/>
    </xf>
    <xf numFmtId="49" fontId="14" fillId="0" borderId="14" xfId="0" applyNumberFormat="1" applyFont="1" applyBorder="1" applyAlignment="1">
      <alignment horizontal="left" vertical="top"/>
    </xf>
    <xf numFmtId="4" fontId="14" fillId="0" borderId="14" xfId="0" applyNumberFormat="1" applyFont="1" applyBorder="1" applyAlignment="1">
      <alignment horizontal="right" vertical="center"/>
    </xf>
    <xf numFmtId="0" fontId="14" fillId="0" borderId="14" xfId="0" applyFont="1" applyBorder="1" applyAlignment="1">
      <alignment horizontal="left" vertical="center"/>
    </xf>
    <xf numFmtId="164" fontId="14" fillId="0" borderId="14" xfId="0" applyNumberFormat="1" applyFont="1" applyBorder="1" applyAlignment="1">
      <alignment horizontal="left" vertical="center"/>
    </xf>
    <xf numFmtId="0" fontId="14" fillId="0" borderId="0" xfId="0" applyFont="1" applyAlignment="1">
      <alignment horizontal="left" vertical="top"/>
    </xf>
    <xf numFmtId="49" fontId="14" fillId="0" borderId="15" xfId="0" applyNumberFormat="1" applyFont="1" applyBorder="1" applyAlignment="1">
      <alignment horizontal="center" vertical="center"/>
    </xf>
    <xf numFmtId="49" fontId="14" fillId="0" borderId="15" xfId="0" applyNumberFormat="1" applyFont="1" applyBorder="1" applyAlignment="1">
      <alignment horizontal="left" vertical="top"/>
    </xf>
    <xf numFmtId="4" fontId="14" fillId="0" borderId="15" xfId="0" applyNumberFormat="1" applyFont="1" applyBorder="1" applyAlignment="1">
      <alignment horizontal="right" vertical="center"/>
    </xf>
    <xf numFmtId="0" fontId="14" fillId="0" borderId="15" xfId="0" applyFont="1" applyBorder="1" applyAlignment="1">
      <alignment horizontal="left" vertical="center"/>
    </xf>
    <xf numFmtId="164" fontId="14" fillId="0" borderId="15" xfId="0" applyNumberFormat="1" applyFont="1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4" fontId="14" fillId="0" borderId="1" xfId="0" applyNumberFormat="1" applyFont="1" applyBorder="1" applyAlignment="1">
      <alignment horizontal="right" vertical="center"/>
    </xf>
    <xf numFmtId="164" fontId="14" fillId="0" borderId="1" xfId="0" applyNumberFormat="1" applyFont="1" applyBorder="1" applyAlignment="1">
      <alignment horizontal="left" vertical="center"/>
    </xf>
    <xf numFmtId="49" fontId="21" fillId="0" borderId="4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left" vertical="center"/>
    </xf>
    <xf numFmtId="4" fontId="21" fillId="0" borderId="4" xfId="0" applyNumberFormat="1" applyFont="1" applyBorder="1" applyAlignment="1">
      <alignment horizontal="right" vertical="center"/>
    </xf>
    <xf numFmtId="164" fontId="21" fillId="0" borderId="4" xfId="0" applyNumberFormat="1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11" xfId="0" applyFont="1" applyBorder="1" applyAlignment="1">
      <alignment horizontal="right" vertical="center"/>
    </xf>
    <xf numFmtId="0" fontId="14" fillId="0" borderId="11" xfId="0" applyFont="1" applyBorder="1" applyAlignment="1">
      <alignment horizontal="center" vertical="center"/>
    </xf>
    <xf numFmtId="4" fontId="14" fillId="0" borderId="11" xfId="0" applyNumberFormat="1" applyFont="1" applyBorder="1" applyAlignment="1">
      <alignment horizontal="center" vertical="center"/>
    </xf>
    <xf numFmtId="164" fontId="14" fillId="0" borderId="12" xfId="0" applyNumberFormat="1" applyFont="1" applyBorder="1" applyAlignment="1">
      <alignment horizontal="center" vertical="center"/>
    </xf>
    <xf numFmtId="0" fontId="14" fillId="0" borderId="8" xfId="0" applyFont="1" applyBorder="1" applyAlignment="1">
      <alignment horizontal="left" vertical="center"/>
    </xf>
    <xf numFmtId="0" fontId="14" fillId="0" borderId="1" xfId="0" applyFont="1" applyBorder="1" applyAlignment="1">
      <alignment horizontal="center" vertical="center"/>
    </xf>
    <xf numFmtId="4" fontId="14" fillId="0" borderId="1" xfId="0" applyNumberFormat="1" applyFont="1" applyBorder="1" applyAlignment="1">
      <alignment horizontal="center" vertical="center"/>
    </xf>
    <xf numFmtId="164" fontId="14" fillId="0" borderId="9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left" vertical="center"/>
    </xf>
    <xf numFmtId="164" fontId="14" fillId="0" borderId="7" xfId="0" applyNumberFormat="1" applyFont="1" applyBorder="1" applyAlignment="1">
      <alignment horizontal="center" vertical="center"/>
    </xf>
    <xf numFmtId="0" fontId="21" fillId="0" borderId="3" xfId="0" applyFont="1" applyBorder="1" applyAlignment="1">
      <alignment horizontal="left" vertical="center"/>
    </xf>
    <xf numFmtId="0" fontId="14" fillId="0" borderId="4" xfId="0" applyFont="1" applyBorder="1" applyAlignment="1">
      <alignment horizontal="center" vertical="center"/>
    </xf>
    <xf numFmtId="4" fontId="14" fillId="0" borderId="4" xfId="0" applyNumberFormat="1" applyFont="1" applyBorder="1" applyAlignment="1">
      <alignment horizontal="center" vertical="center"/>
    </xf>
    <xf numFmtId="164" fontId="21" fillId="0" borderId="5" xfId="0" applyNumberFormat="1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9" fontId="14" fillId="0" borderId="0" xfId="0" applyNumberFormat="1" applyFont="1" applyAlignment="1">
      <alignment horizontal="left"/>
    </xf>
    <xf numFmtId="0" fontId="23" fillId="0" borderId="15" xfId="0" applyFont="1" applyBorder="1"/>
    <xf numFmtId="0" fontId="23" fillId="0" borderId="15" xfId="0" applyFont="1" applyBorder="1" applyAlignment="1">
      <alignment horizontal="right"/>
    </xf>
    <xf numFmtId="4" fontId="23" fillId="0" borderId="15" xfId="0" applyNumberFormat="1" applyFont="1" applyBorder="1"/>
    <xf numFmtId="0" fontId="23" fillId="0" borderId="15" xfId="0" applyFont="1" applyBorder="1" applyAlignment="1">
      <alignment horizontal="left" vertical="center"/>
    </xf>
    <xf numFmtId="0" fontId="24" fillId="0" borderId="0" xfId="0" applyFont="1"/>
    <xf numFmtId="0" fontId="23" fillId="0" borderId="0" xfId="0" applyFont="1"/>
    <xf numFmtId="0" fontId="23" fillId="0" borderId="0" xfId="0" applyFont="1" applyAlignment="1">
      <alignment horizontal="right"/>
    </xf>
    <xf numFmtId="4" fontId="23" fillId="0" borderId="0" xfId="0" applyNumberFormat="1" applyFont="1"/>
    <xf numFmtId="0" fontId="23" fillId="0" borderId="0" xfId="0" applyFont="1" applyAlignment="1">
      <alignment horizontal="left" vertical="center"/>
    </xf>
    <xf numFmtId="0" fontId="14" fillId="0" borderId="2" xfId="0" applyFont="1" applyBorder="1" applyAlignment="1">
      <alignment vertical="center"/>
    </xf>
    <xf numFmtId="4" fontId="14" fillId="0" borderId="2" xfId="0" applyNumberFormat="1" applyFont="1" applyBorder="1" applyAlignment="1">
      <alignment vertical="center"/>
    </xf>
    <xf numFmtId="165" fontId="14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/>
    </xf>
    <xf numFmtId="0" fontId="25" fillId="0" borderId="0" xfId="0" applyFont="1" applyAlignment="1">
      <alignment horizontal="right"/>
    </xf>
    <xf numFmtId="49" fontId="14" fillId="0" borderId="0" xfId="0" applyNumberFormat="1" applyFont="1" applyAlignment="1">
      <alignment horizontal="right" vertical="center"/>
    </xf>
    <xf numFmtId="49" fontId="21" fillId="0" borderId="0" xfId="0" applyNumberFormat="1" applyFont="1" applyAlignment="1">
      <alignment horizontal="right" vertical="center"/>
    </xf>
    <xf numFmtId="0" fontId="25" fillId="0" borderId="0" xfId="0" applyFont="1" applyAlignment="1">
      <alignment horizontal="left"/>
    </xf>
    <xf numFmtId="4" fontId="14" fillId="0" borderId="0" xfId="0" applyNumberFormat="1" applyFont="1" applyAlignment="1">
      <alignment horizontal="left" vertical="center"/>
    </xf>
    <xf numFmtId="4" fontId="14" fillId="0" borderId="13" xfId="0" applyNumberFormat="1" applyFont="1" applyBorder="1" applyAlignment="1">
      <alignment horizontal="left" vertical="center"/>
    </xf>
    <xf numFmtId="2" fontId="25" fillId="0" borderId="0" xfId="0" applyNumberFormat="1" applyFont="1" applyAlignment="1">
      <alignment horizontal="right"/>
    </xf>
    <xf numFmtId="2" fontId="14" fillId="0" borderId="0" xfId="0" applyNumberFormat="1" applyFont="1" applyAlignment="1">
      <alignment horizontal="right" vertical="center"/>
    </xf>
    <xf numFmtId="164" fontId="14" fillId="0" borderId="0" xfId="0" applyNumberFormat="1" applyFont="1" applyAlignment="1">
      <alignment horizontal="right" vertical="center"/>
    </xf>
    <xf numFmtId="164" fontId="14" fillId="0" borderId="13" xfId="0" applyNumberFormat="1" applyFont="1" applyBorder="1" applyAlignment="1">
      <alignment horizontal="right" vertical="center"/>
    </xf>
    <xf numFmtId="49" fontId="22" fillId="0" borderId="13" xfId="0" applyNumberFormat="1" applyFont="1" applyBorder="1" applyAlignment="1">
      <alignment horizontal="center" vertical="center"/>
    </xf>
    <xf numFmtId="49" fontId="21" fillId="0" borderId="4" xfId="0" applyNumberFormat="1" applyFont="1" applyBorder="1" applyAlignment="1">
      <alignment horizontal="center"/>
    </xf>
    <xf numFmtId="0" fontId="19" fillId="0" borderId="0" xfId="0" applyFont="1" applyAlignment="1">
      <alignment horizontal="center"/>
    </xf>
    <xf numFmtId="49" fontId="17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49" fontId="10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2712720</xdr:colOff>
      <xdr:row>40</xdr:row>
      <xdr:rowOff>68580</xdr:rowOff>
    </xdr:from>
    <xdr:to>
      <xdr:col>5</xdr:col>
      <xdr:colOff>38100</xdr:colOff>
      <xdr:row>44</xdr:row>
      <xdr:rowOff>140522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92780" y="6957060"/>
          <a:ext cx="1684020" cy="7425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2919644</xdr:colOff>
      <xdr:row>105</xdr:row>
      <xdr:rowOff>102870</xdr:rowOff>
    </xdr:from>
    <xdr:to>
      <xdr:col>5</xdr:col>
      <xdr:colOff>834744</xdr:colOff>
      <xdr:row>111</xdr:row>
      <xdr:rowOff>1430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6494" y="19711670"/>
          <a:ext cx="1667950" cy="8510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tabSelected="1" view="pageLayout" zoomScaleNormal="100" workbookViewId="0">
      <selection activeCell="B16" sqref="B16"/>
    </sheetView>
  </sheetViews>
  <sheetFormatPr baseColWidth="10" defaultColWidth="11.5703125" defaultRowHeight="13.5" x14ac:dyDescent="0.25"/>
  <cols>
    <col min="1" max="1" width="6.5703125" style="1" customWidth="1"/>
    <col min="2" max="2" width="45.42578125" style="1" customWidth="1"/>
    <col min="3" max="3" width="7.85546875" style="1" bestFit="1" customWidth="1"/>
    <col min="4" max="4" width="3.5703125" style="1" bestFit="1" customWidth="1"/>
    <col min="5" max="5" width="4" style="2" customWidth="1"/>
    <col min="6" max="6" width="6" style="3" customWidth="1"/>
    <col min="7" max="7" width="15.5703125" style="1" customWidth="1"/>
    <col min="8" max="16384" width="11.5703125" style="1"/>
  </cols>
  <sheetData>
    <row r="1" spans="1:7" ht="14.45" customHeight="1" x14ac:dyDescent="0.25"/>
    <row r="2" spans="1:7" ht="14.45" customHeight="1" x14ac:dyDescent="0.25"/>
    <row r="3" spans="1:7" ht="14.45" customHeight="1" x14ac:dyDescent="0.4">
      <c r="A3" s="27"/>
      <c r="B3" s="27"/>
    </row>
    <row r="4" spans="1:7" ht="17.45" customHeight="1" x14ac:dyDescent="0.4">
      <c r="A4" s="27"/>
      <c r="B4" s="27"/>
    </row>
    <row r="5" spans="1:7" ht="17.45" customHeight="1" x14ac:dyDescent="0.25">
      <c r="F5" s="1"/>
    </row>
    <row r="6" spans="1:7" ht="14.45" customHeight="1" x14ac:dyDescent="0.3">
      <c r="A6" s="4" t="s">
        <v>113</v>
      </c>
      <c r="B6" s="5"/>
      <c r="G6" s="6"/>
    </row>
    <row r="7" spans="1:7" ht="14.45" customHeight="1" x14ac:dyDescent="0.25">
      <c r="A7" s="7"/>
      <c r="B7" s="7"/>
      <c r="G7" s="6"/>
    </row>
    <row r="8" spans="1:7" x14ac:dyDescent="0.25">
      <c r="A8" s="1" t="s">
        <v>82</v>
      </c>
      <c r="G8" s="6"/>
    </row>
    <row r="9" spans="1:7" x14ac:dyDescent="0.25">
      <c r="A9" s="1" t="s">
        <v>116</v>
      </c>
    </row>
    <row r="10" spans="1:7" x14ac:dyDescent="0.25">
      <c r="A10" s="1" t="s">
        <v>116</v>
      </c>
    </row>
    <row r="11" spans="1:7" x14ac:dyDescent="0.25">
      <c r="A11" s="1" t="s">
        <v>116</v>
      </c>
      <c r="E11" s="1"/>
      <c r="F11" s="1"/>
    </row>
    <row r="13" spans="1:7" ht="13.5" customHeight="1" x14ac:dyDescent="0.25"/>
    <row r="14" spans="1:7" ht="13.5" customHeight="1" x14ac:dyDescent="0.25"/>
    <row r="15" spans="1:7" ht="13.5" customHeight="1" x14ac:dyDescent="0.25">
      <c r="E15" s="148"/>
      <c r="F15" s="148"/>
      <c r="G15" s="148"/>
    </row>
    <row r="16" spans="1:7" ht="13.5" customHeight="1" x14ac:dyDescent="0.25">
      <c r="A16" s="19"/>
      <c r="E16" s="148" t="s">
        <v>134</v>
      </c>
      <c r="F16" s="148"/>
      <c r="G16" s="148"/>
    </row>
    <row r="17" spans="1:8" ht="13.5" customHeight="1" x14ac:dyDescent="0.25"/>
    <row r="18" spans="1:8" ht="13.5" customHeight="1" x14ac:dyDescent="0.25"/>
    <row r="19" spans="1:8" ht="13.5" customHeight="1" x14ac:dyDescent="0.25">
      <c r="A19" s="1" t="s">
        <v>33</v>
      </c>
      <c r="B19" s="20" t="s">
        <v>117</v>
      </c>
    </row>
    <row r="20" spans="1:8" ht="13.5" customHeight="1" x14ac:dyDescent="0.25">
      <c r="B20" s="1" t="s">
        <v>34</v>
      </c>
    </row>
    <row r="21" spans="1:8" ht="13.5" customHeight="1" x14ac:dyDescent="0.25"/>
    <row r="22" spans="1:8" ht="13.5" customHeight="1" x14ac:dyDescent="0.25"/>
    <row r="23" spans="1:8" ht="13.5" customHeight="1" x14ac:dyDescent="0.25">
      <c r="A23" s="8"/>
      <c r="B23" s="8"/>
      <c r="C23" s="149"/>
      <c r="D23" s="149"/>
      <c r="E23" s="150"/>
      <c r="F23" s="150"/>
      <c r="G23" s="8"/>
    </row>
    <row r="24" spans="1:8" ht="13.5" customHeight="1" x14ac:dyDescent="0.25"/>
    <row r="25" spans="1:8" ht="13.5" customHeight="1" x14ac:dyDescent="0.25">
      <c r="A25" s="25" t="s">
        <v>3</v>
      </c>
      <c r="B25" s="20"/>
      <c r="C25" s="15"/>
      <c r="D25" s="3"/>
      <c r="E25" s="15"/>
      <c r="F25" s="17"/>
      <c r="G25" s="16"/>
      <c r="H25" s="8"/>
    </row>
    <row r="26" spans="1:8" ht="13.5" customHeight="1" x14ac:dyDescent="0.25">
      <c r="A26" s="14"/>
      <c r="B26" s="21"/>
      <c r="C26" s="15"/>
      <c r="D26" s="3"/>
      <c r="E26" s="15"/>
      <c r="F26" s="17"/>
      <c r="G26" s="16"/>
      <c r="H26" s="8"/>
    </row>
    <row r="27" spans="1:8" ht="13.5" customHeight="1" x14ac:dyDescent="0.25">
      <c r="A27" s="25" t="s">
        <v>133</v>
      </c>
      <c r="B27" s="21"/>
      <c r="C27" s="15"/>
      <c r="D27" s="3"/>
      <c r="E27" s="15"/>
      <c r="F27" s="17"/>
      <c r="G27" s="16"/>
      <c r="H27" s="8"/>
    </row>
    <row r="28" spans="1:8" ht="13.5" customHeight="1" x14ac:dyDescent="0.25">
      <c r="A28" s="25" t="s">
        <v>35</v>
      </c>
      <c r="B28" s="21"/>
      <c r="C28" s="15"/>
      <c r="D28" s="3"/>
      <c r="E28" s="15"/>
      <c r="F28" s="17"/>
      <c r="G28" s="16"/>
      <c r="H28" s="8"/>
    </row>
    <row r="29" spans="1:8" ht="13.5" customHeight="1" x14ac:dyDescent="0.25">
      <c r="A29" s="25"/>
      <c r="B29" s="21"/>
      <c r="C29" s="15"/>
      <c r="D29" s="3"/>
      <c r="E29" s="15"/>
      <c r="F29" s="17"/>
      <c r="G29" s="16"/>
      <c r="H29" s="8"/>
    </row>
    <row r="30" spans="1:8" ht="13.5" customHeight="1" x14ac:dyDescent="0.25">
      <c r="A30" s="25" t="s">
        <v>36</v>
      </c>
      <c r="B30" s="22"/>
      <c r="C30" s="15"/>
      <c r="D30" s="3"/>
      <c r="E30" s="15"/>
      <c r="F30" s="17"/>
      <c r="G30" s="16"/>
      <c r="H30" s="8"/>
    </row>
    <row r="31" spans="1:8" ht="13.5" customHeight="1" x14ac:dyDescent="0.25">
      <c r="A31" s="25" t="s">
        <v>37</v>
      </c>
      <c r="B31" s="22"/>
      <c r="C31" s="15"/>
      <c r="D31" s="3"/>
      <c r="E31" s="15"/>
      <c r="F31" s="17"/>
      <c r="G31" s="16"/>
      <c r="H31" s="8"/>
    </row>
    <row r="32" spans="1:8" ht="13.5" customHeight="1" x14ac:dyDescent="0.25">
      <c r="A32" s="25"/>
      <c r="B32" s="22"/>
      <c r="C32" s="15"/>
      <c r="D32" s="3"/>
      <c r="E32" s="15"/>
      <c r="F32" s="17"/>
      <c r="G32" s="16"/>
      <c r="H32" s="8"/>
    </row>
    <row r="33" spans="1:8" ht="13.5" customHeight="1" x14ac:dyDescent="0.25">
      <c r="A33" s="25" t="s">
        <v>38</v>
      </c>
      <c r="B33" s="22"/>
      <c r="C33" s="15"/>
      <c r="D33" s="3"/>
      <c r="E33" s="15"/>
      <c r="F33" s="17"/>
      <c r="G33" s="16"/>
      <c r="H33" s="8"/>
    </row>
    <row r="34" spans="1:8" ht="13.5" customHeight="1" x14ac:dyDescent="0.25">
      <c r="A34" s="25" t="s">
        <v>39</v>
      </c>
      <c r="B34" s="23"/>
      <c r="E34" s="15"/>
      <c r="F34" s="17"/>
      <c r="G34" s="16"/>
      <c r="H34" s="8"/>
    </row>
    <row r="35" spans="1:8" ht="13.5" customHeight="1" x14ac:dyDescent="0.25">
      <c r="A35" s="25"/>
      <c r="B35" s="22"/>
      <c r="C35" s="15"/>
      <c r="D35" s="3"/>
      <c r="E35" s="15"/>
      <c r="F35" s="17"/>
      <c r="G35" s="16"/>
      <c r="H35" s="8"/>
    </row>
    <row r="36" spans="1:8" ht="13.5" customHeight="1" x14ac:dyDescent="0.25">
      <c r="A36" s="25"/>
      <c r="B36" s="22"/>
      <c r="C36" s="15"/>
      <c r="D36" s="3"/>
      <c r="E36" s="15"/>
      <c r="F36" s="17"/>
      <c r="G36" s="16"/>
      <c r="H36" s="8"/>
    </row>
    <row r="37" spans="1:8" ht="13.5" customHeight="1" x14ac:dyDescent="0.25">
      <c r="A37" s="24"/>
      <c r="B37" s="23"/>
      <c r="C37" s="15"/>
      <c r="D37" s="3"/>
      <c r="E37" s="15"/>
      <c r="F37" s="17"/>
      <c r="G37" s="16"/>
      <c r="H37" s="8"/>
    </row>
    <row r="38" spans="1:8" ht="13.5" customHeight="1" x14ac:dyDescent="0.25">
      <c r="A38" s="25"/>
      <c r="B38" s="26"/>
      <c r="C38" s="18" t="s">
        <v>40</v>
      </c>
      <c r="D38" s="3"/>
      <c r="E38" s="15"/>
      <c r="F38" s="17"/>
      <c r="G38" s="16"/>
      <c r="H38" s="8"/>
    </row>
    <row r="39" spans="1:8" ht="13.5" customHeight="1" x14ac:dyDescent="0.25">
      <c r="A39" s="25"/>
      <c r="D39" s="3"/>
      <c r="E39" s="15"/>
      <c r="F39" s="17"/>
      <c r="G39" s="16"/>
      <c r="H39" s="8"/>
    </row>
    <row r="40" spans="1:8" ht="13.5" customHeight="1" x14ac:dyDescent="0.25">
      <c r="A40" s="9"/>
      <c r="B40" s="26"/>
      <c r="C40" s="18" t="s">
        <v>114</v>
      </c>
      <c r="D40" s="3"/>
      <c r="E40" s="15"/>
      <c r="F40" s="17"/>
      <c r="G40" s="16"/>
      <c r="H40" s="8"/>
    </row>
    <row r="41" spans="1:8" ht="13.5" customHeight="1" x14ac:dyDescent="0.25">
      <c r="A41" s="14"/>
      <c r="B41" s="22"/>
      <c r="C41" s="15"/>
      <c r="D41" s="3"/>
      <c r="E41" s="15"/>
      <c r="F41" s="17"/>
      <c r="G41" s="16"/>
      <c r="H41" s="8"/>
    </row>
    <row r="42" spans="1:8" ht="13.5" customHeight="1" x14ac:dyDescent="0.25">
      <c r="A42" s="9"/>
      <c r="B42" s="10"/>
      <c r="C42" s="11"/>
      <c r="D42" s="10"/>
      <c r="E42" s="11"/>
      <c r="F42" s="12"/>
      <c r="G42" s="13"/>
      <c r="H42" s="8"/>
    </row>
    <row r="43" spans="1:8" ht="13.5" customHeight="1" x14ac:dyDescent="0.25">
      <c r="A43" s="151"/>
      <c r="B43" s="151"/>
      <c r="C43" s="151"/>
      <c r="D43" s="151"/>
      <c r="E43" s="151"/>
      <c r="F43" s="151"/>
      <c r="G43" s="151"/>
      <c r="H43" s="8"/>
    </row>
    <row r="44" spans="1:8" ht="13.5" customHeight="1" x14ac:dyDescent="0.25">
      <c r="A44" s="14"/>
      <c r="B44" s="3"/>
      <c r="C44" s="15"/>
      <c r="D44" s="3"/>
      <c r="E44" s="15"/>
      <c r="F44" s="17"/>
      <c r="G44" s="16"/>
      <c r="H44" s="8"/>
    </row>
    <row r="45" spans="1:8" ht="13.5" customHeight="1" x14ac:dyDescent="0.25">
      <c r="A45" s="14"/>
      <c r="B45" s="3"/>
      <c r="C45" s="15"/>
      <c r="D45" s="3"/>
      <c r="E45" s="15"/>
      <c r="F45" s="17"/>
      <c r="G45" s="16"/>
      <c r="H45" s="8"/>
    </row>
    <row r="46" spans="1:8" ht="13.5" customHeight="1" x14ac:dyDescent="0.25">
      <c r="A46" s="14"/>
      <c r="B46" s="3"/>
      <c r="C46" s="15"/>
      <c r="D46" s="3"/>
      <c r="E46" s="15"/>
      <c r="F46" s="17"/>
      <c r="G46" s="16"/>
      <c r="H46" s="8"/>
    </row>
    <row r="47" spans="1:8" ht="13.5" customHeight="1" x14ac:dyDescent="0.25">
      <c r="A47" s="14"/>
      <c r="B47" s="3"/>
      <c r="C47" s="15"/>
      <c r="D47" s="3"/>
      <c r="E47" s="15"/>
      <c r="F47" s="17"/>
      <c r="G47" s="16"/>
      <c r="H47" s="8"/>
    </row>
    <row r="48" spans="1:8" ht="13.5" customHeight="1" x14ac:dyDescent="0.25">
      <c r="A48" s="14"/>
      <c r="B48" s="3"/>
      <c r="C48" s="15"/>
      <c r="D48" s="3"/>
      <c r="E48" s="15"/>
      <c r="F48" s="17"/>
      <c r="G48" s="16"/>
      <c r="H48" s="8"/>
    </row>
    <row r="49" spans="1:8" ht="13.5" customHeight="1" x14ac:dyDescent="0.25">
      <c r="A49" s="14"/>
      <c r="B49" s="3"/>
      <c r="C49" s="15"/>
      <c r="D49" s="3"/>
      <c r="E49" s="15"/>
      <c r="F49" s="17"/>
      <c r="G49" s="16"/>
      <c r="H49" s="8"/>
    </row>
    <row r="50" spans="1:8" ht="13.5" customHeight="1" x14ac:dyDescent="0.25">
      <c r="A50" s="14"/>
      <c r="B50" s="3"/>
      <c r="C50" s="15"/>
      <c r="D50" s="3"/>
      <c r="E50" s="15"/>
      <c r="F50" s="17"/>
      <c r="G50" s="16"/>
      <c r="H50" s="8"/>
    </row>
    <row r="51" spans="1:8" ht="13.5" customHeight="1" x14ac:dyDescent="0.25">
      <c r="A51" s="14"/>
      <c r="B51" s="3"/>
      <c r="C51" s="15"/>
      <c r="D51" s="3"/>
      <c r="E51" s="15"/>
      <c r="F51" s="17"/>
      <c r="G51" s="16"/>
      <c r="H51" s="8"/>
    </row>
    <row r="52" spans="1:8" ht="13.5" customHeight="1" x14ac:dyDescent="0.25">
      <c r="A52" s="14"/>
      <c r="B52" s="3"/>
      <c r="C52" s="15"/>
      <c r="D52" s="3"/>
      <c r="E52" s="15"/>
      <c r="F52" s="17"/>
      <c r="G52" s="16"/>
      <c r="H52" s="8"/>
    </row>
    <row r="53" spans="1:8" ht="7.5" customHeight="1" x14ac:dyDescent="0.25">
      <c r="A53" s="53"/>
      <c r="B53" s="54"/>
      <c r="C53" s="55"/>
      <c r="D53" s="54"/>
      <c r="E53" s="55"/>
      <c r="F53" s="56"/>
      <c r="G53" s="57"/>
      <c r="H53" s="8"/>
    </row>
    <row r="54" spans="1:8" ht="290.45" hidden="1" customHeight="1" x14ac:dyDescent="0.25">
      <c r="A54" s="14"/>
      <c r="B54" s="3"/>
      <c r="C54" s="15"/>
      <c r="D54" s="3"/>
      <c r="E54" s="15"/>
      <c r="F54" s="17"/>
      <c r="G54" s="16"/>
      <c r="H54" s="8"/>
    </row>
    <row r="55" spans="1:8" ht="290.45" hidden="1" customHeight="1" x14ac:dyDescent="0.25">
      <c r="A55" s="14"/>
      <c r="B55" s="3"/>
      <c r="C55" s="15"/>
      <c r="D55" s="3"/>
      <c r="E55" s="15"/>
      <c r="F55" s="17"/>
      <c r="G55" s="16"/>
      <c r="H55" s="8"/>
    </row>
    <row r="56" spans="1:8" ht="13.5" customHeight="1" x14ac:dyDescent="0.25">
      <c r="A56" s="147" t="s">
        <v>115</v>
      </c>
      <c r="B56" s="147"/>
      <c r="C56" s="147"/>
      <c r="D56" s="147"/>
      <c r="E56" s="147"/>
      <c r="F56" s="147"/>
      <c r="G56" s="147"/>
      <c r="H56" s="8"/>
    </row>
    <row r="57" spans="1:8" ht="13.5" customHeight="1" x14ac:dyDescent="0.25">
      <c r="A57" s="147" t="s">
        <v>93</v>
      </c>
      <c r="B57" s="147"/>
      <c r="C57" s="147"/>
      <c r="D57" s="147"/>
      <c r="E57" s="147"/>
      <c r="F57" s="147"/>
      <c r="G57" s="147"/>
      <c r="H57" s="8"/>
    </row>
  </sheetData>
  <mergeCells count="7">
    <mergeCell ref="A56:G56"/>
    <mergeCell ref="A57:G57"/>
    <mergeCell ref="E16:G16"/>
    <mergeCell ref="E15:G15"/>
    <mergeCell ref="C23:D23"/>
    <mergeCell ref="E23:F23"/>
    <mergeCell ref="A43:G43"/>
  </mergeCells>
  <pageMargins left="0.86614173228346458" right="0.39370078740157483" top="0.74803149606299213" bottom="0.35433070866141736" header="0.31496062992125984" footer="0.31496062992125984"/>
  <pageSetup paperSize="9" orientation="portrait" r:id="rId1"/>
  <headerFooter>
    <oddHeader xml:space="preserve">&amp;R&amp;"Century Gothic,Standard"&amp;9&amp;G
Seite &amp;P von &amp;N&amp;"-,Standard"&amp;11
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76"/>
  <sheetViews>
    <sheetView view="pageLayout" zoomScaleNormal="100" workbookViewId="0">
      <selection activeCell="A2" sqref="A2:G2"/>
    </sheetView>
  </sheetViews>
  <sheetFormatPr baseColWidth="10" defaultColWidth="11.5703125" defaultRowHeight="13.5" x14ac:dyDescent="0.25"/>
  <cols>
    <col min="1" max="1" width="4.5703125" style="50" customWidth="1"/>
    <col min="2" max="2" width="45.42578125" style="43" customWidth="1"/>
    <col min="3" max="3" width="7.85546875" style="1" bestFit="1" customWidth="1"/>
    <col min="4" max="4" width="3.5703125" style="1" bestFit="1" customWidth="1"/>
    <col min="5" max="5" width="8.5703125" style="2" customWidth="1"/>
    <col min="6" max="6" width="6" style="3" customWidth="1"/>
    <col min="7" max="7" width="12.5703125" style="1" bestFit="1" customWidth="1"/>
    <col min="8" max="16384" width="11.5703125" style="1"/>
  </cols>
  <sheetData>
    <row r="2" spans="1:7" ht="17.25" x14ac:dyDescent="0.3">
      <c r="A2" s="152" t="s">
        <v>41</v>
      </c>
      <c r="B2" s="152"/>
      <c r="C2" s="152"/>
      <c r="D2" s="152"/>
      <c r="E2" s="152"/>
      <c r="F2" s="152"/>
      <c r="G2" s="152"/>
    </row>
    <row r="3" spans="1:7" ht="14.25" x14ac:dyDescent="0.3">
      <c r="A3" s="153"/>
      <c r="B3" s="153"/>
      <c r="C3" s="153"/>
      <c r="D3" s="153"/>
      <c r="E3" s="153"/>
      <c r="F3" s="153"/>
      <c r="G3" s="153"/>
    </row>
    <row r="4" spans="1:7" ht="15" customHeight="1" x14ac:dyDescent="0.3">
      <c r="A4" s="51"/>
      <c r="B4" s="52" t="s">
        <v>60</v>
      </c>
      <c r="C4" s="29"/>
      <c r="D4" s="29"/>
      <c r="E4" s="30"/>
      <c r="F4" s="31"/>
      <c r="G4" s="28"/>
    </row>
    <row r="5" spans="1:7" ht="15" customHeight="1" x14ac:dyDescent="0.3">
      <c r="A5" s="48"/>
      <c r="B5" s="45"/>
      <c r="C5" s="29"/>
      <c r="D5" s="29"/>
      <c r="E5" s="30"/>
      <c r="F5" s="31"/>
      <c r="G5" s="29"/>
    </row>
    <row r="6" spans="1:7" s="43" customFormat="1" ht="15" customHeight="1" x14ac:dyDescent="0.25">
      <c r="A6" s="49">
        <v>1</v>
      </c>
      <c r="B6" s="31" t="s">
        <v>61</v>
      </c>
      <c r="C6" s="35"/>
      <c r="D6" s="35"/>
      <c r="E6" s="36"/>
      <c r="F6" s="36"/>
      <c r="G6" s="31"/>
    </row>
    <row r="7" spans="1:7" s="43" customFormat="1" ht="15" customHeight="1" x14ac:dyDescent="0.25">
      <c r="A7" s="49"/>
      <c r="B7" s="31"/>
      <c r="C7" s="31"/>
      <c r="D7" s="31"/>
      <c r="E7" s="44"/>
      <c r="F7" s="44"/>
      <c r="G7" s="31"/>
    </row>
    <row r="8" spans="1:7" s="43" customFormat="1" ht="15" customHeight="1" x14ac:dyDescent="0.3">
      <c r="A8" s="49">
        <v>2</v>
      </c>
      <c r="B8" s="47" t="s">
        <v>62</v>
      </c>
      <c r="C8" s="45"/>
      <c r="D8" s="45"/>
      <c r="E8" s="46"/>
      <c r="F8" s="31"/>
      <c r="G8" s="45"/>
    </row>
    <row r="9" spans="1:7" s="43" customFormat="1" ht="15" customHeight="1" x14ac:dyDescent="0.3">
      <c r="A9" s="48"/>
      <c r="B9" s="47"/>
      <c r="C9" s="45"/>
      <c r="D9" s="45"/>
      <c r="E9" s="46"/>
      <c r="F9" s="31"/>
      <c r="G9" s="45"/>
    </row>
    <row r="10" spans="1:7" s="43" customFormat="1" ht="15" customHeight="1" x14ac:dyDescent="0.25">
      <c r="A10" s="49">
        <v>3</v>
      </c>
      <c r="B10" s="38" t="s">
        <v>63</v>
      </c>
      <c r="C10" s="44"/>
      <c r="D10" s="31"/>
      <c r="E10" s="44"/>
      <c r="F10" s="37"/>
      <c r="G10" s="33"/>
    </row>
    <row r="11" spans="1:7" s="43" customFormat="1" ht="15" customHeight="1" x14ac:dyDescent="0.25">
      <c r="A11" s="49"/>
      <c r="B11" s="38"/>
      <c r="C11" s="44"/>
      <c r="D11" s="31"/>
      <c r="E11" s="44"/>
      <c r="F11" s="33"/>
      <c r="G11" s="33"/>
    </row>
    <row r="12" spans="1:7" s="43" customFormat="1" ht="15" customHeight="1" x14ac:dyDescent="0.25">
      <c r="A12" s="49">
        <v>4</v>
      </c>
      <c r="B12" s="38" t="s">
        <v>64</v>
      </c>
      <c r="C12" s="44"/>
      <c r="D12" s="31"/>
      <c r="E12" s="44"/>
      <c r="F12" s="33"/>
      <c r="G12" s="33"/>
    </row>
    <row r="13" spans="1:7" s="43" customFormat="1" ht="15" customHeight="1" x14ac:dyDescent="0.25">
      <c r="A13" s="49"/>
      <c r="B13" s="38" t="s">
        <v>65</v>
      </c>
      <c r="C13" s="44"/>
      <c r="D13" s="31"/>
      <c r="E13" s="44"/>
      <c r="F13" s="33"/>
      <c r="G13" s="33"/>
    </row>
    <row r="14" spans="1:7" s="43" customFormat="1" ht="15" customHeight="1" x14ac:dyDescent="0.25">
      <c r="A14" s="49"/>
      <c r="B14" s="38"/>
      <c r="C14" s="44"/>
      <c r="D14" s="31"/>
      <c r="E14" s="44"/>
      <c r="F14" s="33"/>
      <c r="G14" s="33"/>
    </row>
    <row r="15" spans="1:7" s="45" customFormat="1" ht="15" customHeight="1" x14ac:dyDescent="0.3">
      <c r="A15" s="49">
        <v>5</v>
      </c>
      <c r="B15" s="38" t="s">
        <v>66</v>
      </c>
      <c r="C15" s="44"/>
      <c r="D15" s="31"/>
      <c r="E15" s="44"/>
      <c r="F15" s="33"/>
      <c r="G15" s="33"/>
    </row>
    <row r="16" spans="1:7" s="45" customFormat="1" ht="15" customHeight="1" x14ac:dyDescent="0.3">
      <c r="A16" s="49"/>
      <c r="B16" s="38" t="s">
        <v>67</v>
      </c>
      <c r="C16" s="44"/>
      <c r="D16" s="31"/>
      <c r="E16" s="44"/>
      <c r="F16" s="33"/>
      <c r="G16" s="33"/>
    </row>
    <row r="17" spans="1:7" s="45" customFormat="1" ht="15" customHeight="1" x14ac:dyDescent="0.3">
      <c r="A17" s="49"/>
      <c r="B17" s="38"/>
      <c r="C17" s="44"/>
      <c r="D17" s="31"/>
      <c r="E17" s="44"/>
      <c r="F17" s="33"/>
      <c r="G17" s="33"/>
    </row>
    <row r="18" spans="1:7" s="45" customFormat="1" ht="15" customHeight="1" x14ac:dyDescent="0.3">
      <c r="A18" s="49">
        <v>6</v>
      </c>
      <c r="B18" s="58" t="s">
        <v>101</v>
      </c>
      <c r="C18" s="44"/>
      <c r="D18" s="31"/>
      <c r="E18" s="44"/>
      <c r="F18" s="33"/>
      <c r="G18" s="33"/>
    </row>
    <row r="19" spans="1:7" s="45" customFormat="1" ht="15" customHeight="1" x14ac:dyDescent="0.3">
      <c r="A19" s="49"/>
      <c r="B19" s="38"/>
      <c r="C19" s="44"/>
      <c r="D19" s="31"/>
      <c r="E19" s="44"/>
      <c r="F19" s="33"/>
      <c r="G19" s="33"/>
    </row>
    <row r="20" spans="1:7" s="45" customFormat="1" ht="15" customHeight="1" x14ac:dyDescent="0.3">
      <c r="A20" s="49">
        <v>7</v>
      </c>
      <c r="B20" s="59" t="s">
        <v>112</v>
      </c>
      <c r="C20" s="44"/>
      <c r="D20" s="31"/>
      <c r="E20" s="44"/>
      <c r="F20" s="33"/>
      <c r="G20" s="33"/>
    </row>
    <row r="21" spans="1:7" s="45" customFormat="1" ht="15" customHeight="1" x14ac:dyDescent="0.3">
      <c r="A21" s="48"/>
      <c r="B21" s="38"/>
      <c r="C21" s="44"/>
      <c r="D21" s="31"/>
      <c r="E21" s="44"/>
      <c r="F21" s="33"/>
      <c r="G21" s="33"/>
    </row>
    <row r="22" spans="1:7" s="45" customFormat="1" ht="15" customHeight="1" x14ac:dyDescent="0.3">
      <c r="A22" s="49">
        <v>8</v>
      </c>
      <c r="B22" s="38" t="s">
        <v>68</v>
      </c>
      <c r="C22" s="44"/>
      <c r="D22" s="31"/>
      <c r="E22" s="44"/>
      <c r="F22" s="33"/>
      <c r="G22" s="33"/>
    </row>
    <row r="23" spans="1:7" s="45" customFormat="1" ht="15" customHeight="1" x14ac:dyDescent="0.3">
      <c r="A23" s="49"/>
      <c r="B23" s="38"/>
      <c r="C23" s="44"/>
      <c r="D23" s="31"/>
      <c r="E23" s="44"/>
      <c r="F23" s="33"/>
      <c r="G23" s="33"/>
    </row>
    <row r="24" spans="1:7" s="45" customFormat="1" ht="15" customHeight="1" x14ac:dyDescent="0.3">
      <c r="A24" s="49">
        <v>9</v>
      </c>
      <c r="B24" s="38" t="s">
        <v>69</v>
      </c>
      <c r="C24" s="44"/>
      <c r="D24" s="31"/>
      <c r="E24" s="44"/>
      <c r="F24" s="33"/>
      <c r="G24" s="33"/>
    </row>
    <row r="25" spans="1:7" s="45" customFormat="1" ht="15" customHeight="1" x14ac:dyDescent="0.3">
      <c r="A25" s="49"/>
      <c r="B25" s="38"/>
      <c r="C25" s="44"/>
      <c r="D25" s="31"/>
      <c r="E25" s="44"/>
      <c r="F25" s="33"/>
      <c r="G25" s="33"/>
    </row>
    <row r="26" spans="1:7" s="45" customFormat="1" ht="15" customHeight="1" x14ac:dyDescent="0.3">
      <c r="A26" s="49">
        <v>10</v>
      </c>
      <c r="B26" s="38" t="s">
        <v>70</v>
      </c>
      <c r="C26" s="44"/>
      <c r="D26" s="31"/>
      <c r="E26" s="44"/>
      <c r="F26" s="33"/>
      <c r="G26" s="33"/>
    </row>
    <row r="27" spans="1:7" s="45" customFormat="1" ht="15" customHeight="1" x14ac:dyDescent="0.3">
      <c r="A27" s="49"/>
      <c r="B27" s="38"/>
      <c r="C27" s="44"/>
      <c r="D27" s="31"/>
      <c r="E27" s="44"/>
      <c r="F27" s="33"/>
      <c r="G27" s="33"/>
    </row>
    <row r="28" spans="1:7" s="45" customFormat="1" ht="15" customHeight="1" x14ac:dyDescent="0.3">
      <c r="A28" s="49">
        <v>11</v>
      </c>
      <c r="B28" s="38" t="s">
        <v>72</v>
      </c>
      <c r="C28" s="44"/>
      <c r="D28" s="31"/>
      <c r="E28" s="44"/>
      <c r="F28" s="33"/>
      <c r="G28" s="33"/>
    </row>
    <row r="29" spans="1:7" s="45" customFormat="1" ht="15" customHeight="1" x14ac:dyDescent="0.3">
      <c r="A29" s="49"/>
      <c r="B29" s="38" t="s">
        <v>71</v>
      </c>
      <c r="C29" s="44"/>
      <c r="D29" s="31"/>
      <c r="E29" s="44"/>
      <c r="F29" s="33"/>
      <c r="G29" s="33"/>
    </row>
    <row r="30" spans="1:7" s="45" customFormat="1" ht="15" customHeight="1" x14ac:dyDescent="0.3">
      <c r="A30" s="49"/>
      <c r="B30" s="38"/>
      <c r="C30" s="44"/>
      <c r="D30" s="31"/>
      <c r="E30" s="44"/>
      <c r="F30" s="33"/>
      <c r="G30" s="33"/>
    </row>
    <row r="31" spans="1:7" s="45" customFormat="1" ht="15" customHeight="1" x14ac:dyDescent="0.3">
      <c r="A31" s="49">
        <v>12</v>
      </c>
      <c r="B31" s="38" t="s">
        <v>73</v>
      </c>
      <c r="C31" s="44"/>
      <c r="D31" s="31"/>
      <c r="E31" s="44"/>
      <c r="F31" s="33"/>
      <c r="G31" s="33"/>
    </row>
    <row r="32" spans="1:7" s="45" customFormat="1" ht="15" customHeight="1" x14ac:dyDescent="0.3">
      <c r="A32" s="49"/>
      <c r="B32" s="38" t="s">
        <v>74</v>
      </c>
      <c r="C32" s="44"/>
      <c r="D32" s="31"/>
      <c r="E32" s="44"/>
      <c r="F32" s="33"/>
      <c r="G32" s="33"/>
    </row>
    <row r="33" spans="1:7" s="45" customFormat="1" ht="15" customHeight="1" x14ac:dyDescent="0.3">
      <c r="A33" s="49"/>
      <c r="B33" s="38"/>
      <c r="C33" s="44"/>
      <c r="D33" s="31"/>
      <c r="E33" s="44"/>
      <c r="F33" s="33"/>
      <c r="G33" s="33"/>
    </row>
    <row r="34" spans="1:7" s="43" customFormat="1" ht="15" customHeight="1" x14ac:dyDescent="0.25">
      <c r="A34" s="49">
        <v>13</v>
      </c>
      <c r="B34" s="38" t="s">
        <v>77</v>
      </c>
      <c r="C34" s="44"/>
      <c r="D34" s="31"/>
      <c r="E34" s="44"/>
      <c r="F34" s="33"/>
      <c r="G34" s="33"/>
    </row>
    <row r="35" spans="1:7" s="43" customFormat="1" ht="15" customHeight="1" x14ac:dyDescent="0.25">
      <c r="A35" s="49"/>
      <c r="B35" s="38" t="s">
        <v>76</v>
      </c>
      <c r="C35" s="44"/>
      <c r="D35" s="31"/>
      <c r="E35" s="44"/>
      <c r="F35" s="33"/>
      <c r="G35" s="33"/>
    </row>
    <row r="36" spans="1:7" s="43" customFormat="1" ht="15" customHeight="1" x14ac:dyDescent="0.25">
      <c r="A36" s="49"/>
      <c r="B36" s="38"/>
      <c r="C36" s="44"/>
      <c r="D36" s="31"/>
      <c r="E36" s="44"/>
      <c r="F36" s="33"/>
      <c r="G36" s="33"/>
    </row>
    <row r="37" spans="1:7" s="43" customFormat="1" ht="15" customHeight="1" x14ac:dyDescent="0.25">
      <c r="A37" s="49">
        <v>14</v>
      </c>
      <c r="B37" s="38" t="s">
        <v>78</v>
      </c>
      <c r="C37" s="44"/>
      <c r="D37" s="31"/>
      <c r="E37" s="44"/>
      <c r="F37" s="33"/>
      <c r="G37" s="33"/>
    </row>
    <row r="38" spans="1:7" ht="15" customHeight="1" x14ac:dyDescent="0.25">
      <c r="A38" s="49"/>
      <c r="B38" s="38" t="s">
        <v>75</v>
      </c>
      <c r="C38" s="32"/>
      <c r="D38" s="31"/>
      <c r="E38" s="32"/>
      <c r="F38" s="33"/>
      <c r="G38" s="34"/>
    </row>
    <row r="39" spans="1:7" ht="15" customHeight="1" x14ac:dyDescent="0.25">
      <c r="A39" s="49"/>
      <c r="B39" s="38"/>
      <c r="C39" s="32"/>
      <c r="D39" s="31"/>
      <c r="E39" s="32"/>
      <c r="F39" s="33"/>
      <c r="G39" s="34"/>
    </row>
    <row r="40" spans="1:7" ht="15" customHeight="1" x14ac:dyDescent="0.25">
      <c r="A40" s="49">
        <v>15</v>
      </c>
      <c r="B40" s="38" t="s">
        <v>98</v>
      </c>
      <c r="C40" s="32"/>
      <c r="D40" s="31"/>
      <c r="E40" s="32"/>
      <c r="F40" s="33"/>
      <c r="G40" s="34"/>
    </row>
    <row r="41" spans="1:7" ht="15" customHeight="1" x14ac:dyDescent="0.25">
      <c r="A41" s="49"/>
      <c r="B41" s="38"/>
      <c r="C41" s="32"/>
      <c r="D41" s="31"/>
      <c r="E41" s="32"/>
      <c r="F41" s="33"/>
      <c r="G41" s="34"/>
    </row>
    <row r="42" spans="1:7" ht="15" customHeight="1" x14ac:dyDescent="0.25">
      <c r="A42" s="49"/>
      <c r="B42" s="38"/>
      <c r="C42" s="32"/>
      <c r="D42" s="31"/>
      <c r="E42" s="32"/>
      <c r="F42" s="33"/>
      <c r="G42" s="34"/>
    </row>
    <row r="43" spans="1:7" ht="15" customHeight="1" x14ac:dyDescent="0.25">
      <c r="A43" s="49"/>
      <c r="B43" s="38"/>
      <c r="C43" s="32"/>
      <c r="D43" s="31"/>
      <c r="E43" s="32"/>
      <c r="F43" s="33"/>
      <c r="G43" s="34"/>
    </row>
    <row r="44" spans="1:7" ht="15" customHeight="1" x14ac:dyDescent="0.25">
      <c r="A44" s="49"/>
      <c r="B44" s="38"/>
      <c r="C44" s="32"/>
      <c r="D44" s="31"/>
      <c r="E44" s="32"/>
      <c r="F44" s="33"/>
      <c r="G44" s="34"/>
    </row>
    <row r="45" spans="1:7" ht="15" customHeight="1" x14ac:dyDescent="0.25">
      <c r="A45" s="49"/>
      <c r="B45" s="38"/>
      <c r="C45" s="32"/>
      <c r="D45" s="31"/>
      <c r="E45" s="32"/>
      <c r="F45" s="33"/>
      <c r="G45" s="34"/>
    </row>
    <row r="46" spans="1:7" ht="15" customHeight="1" x14ac:dyDescent="0.25">
      <c r="A46" s="49"/>
      <c r="B46" s="38"/>
      <c r="C46" s="32"/>
      <c r="D46" s="31"/>
      <c r="E46" s="32"/>
      <c r="F46" s="33"/>
      <c r="G46" s="34"/>
    </row>
    <row r="47" spans="1:7" ht="15" customHeight="1" x14ac:dyDescent="0.25">
      <c r="A47" s="49"/>
      <c r="B47" s="38"/>
      <c r="C47" s="32"/>
      <c r="D47" s="31"/>
      <c r="E47" s="32"/>
      <c r="F47" s="33"/>
      <c r="G47" s="34"/>
    </row>
    <row r="48" spans="1:7" ht="15" customHeight="1" x14ac:dyDescent="0.25">
      <c r="A48" s="49"/>
      <c r="B48" s="38"/>
      <c r="C48" s="32"/>
      <c r="D48" s="31"/>
      <c r="E48" s="32"/>
      <c r="F48" s="33"/>
      <c r="G48" s="34"/>
    </row>
    <row r="49" spans="1:7" ht="15" customHeight="1" x14ac:dyDescent="0.25">
      <c r="A49" s="49"/>
      <c r="B49" s="38"/>
      <c r="C49" s="32"/>
      <c r="D49" s="31"/>
      <c r="E49" s="32"/>
      <c r="F49" s="33"/>
      <c r="G49" s="34"/>
    </row>
    <row r="50" spans="1:7" ht="15" customHeight="1" x14ac:dyDescent="0.25"/>
    <row r="51" spans="1:7" ht="15" customHeight="1" x14ac:dyDescent="0.25"/>
    <row r="52" spans="1:7" ht="15" customHeight="1" x14ac:dyDescent="0.25"/>
    <row r="53" spans="1:7" ht="15" customHeight="1" x14ac:dyDescent="0.25"/>
    <row r="54" spans="1:7" ht="15" customHeight="1" x14ac:dyDescent="0.25"/>
    <row r="55" spans="1:7" ht="15" customHeight="1" x14ac:dyDescent="0.25"/>
    <row r="56" spans="1:7" ht="15" customHeight="1" x14ac:dyDescent="0.25"/>
    <row r="57" spans="1:7" ht="15" customHeight="1" x14ac:dyDescent="0.25"/>
    <row r="58" spans="1:7" ht="15" customHeight="1" x14ac:dyDescent="0.25"/>
    <row r="59" spans="1:7" ht="15" customHeight="1" x14ac:dyDescent="0.25"/>
    <row r="60" spans="1:7" ht="15" customHeight="1" x14ac:dyDescent="0.25"/>
    <row r="61" spans="1:7" ht="15" customHeight="1" x14ac:dyDescent="0.25"/>
    <row r="62" spans="1:7" ht="15" customHeight="1" x14ac:dyDescent="0.25"/>
    <row r="63" spans="1:7" ht="15" customHeight="1" x14ac:dyDescent="0.25"/>
    <row r="64" spans="1:7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</sheetData>
  <mergeCells count="2">
    <mergeCell ref="A2:G2"/>
    <mergeCell ref="A3:G3"/>
  </mergeCells>
  <pageMargins left="0.86614173228346458" right="0.39370078740157483" top="0.74803149606299213" bottom="0.74803149606299213" header="0.31496062992125984" footer="0.31496062992125984"/>
  <pageSetup paperSize="9" orientation="portrait" r:id="rId1"/>
  <headerFooter>
    <oddHeader xml:space="preserve">&amp;R
&amp;"Century Gothic,Standard"&amp;9Seite &amp;P von &amp;N&amp;"-,Standard"&amp;11
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9"/>
  <sheetViews>
    <sheetView view="pageLayout" zoomScaleNormal="100" workbookViewId="0">
      <selection activeCell="D9" sqref="C9:D9"/>
    </sheetView>
  </sheetViews>
  <sheetFormatPr baseColWidth="10" defaultColWidth="11.42578125" defaultRowHeight="13.5" x14ac:dyDescent="0.25"/>
  <cols>
    <col min="1" max="1" width="6.42578125" style="1" customWidth="1"/>
    <col min="2" max="2" width="8.140625" style="1" customWidth="1"/>
    <col min="3" max="3" width="6.5703125" style="1" customWidth="1"/>
    <col min="4" max="4" width="43.140625" style="1" customWidth="1"/>
    <col min="5" max="5" width="10.5703125" style="2" customWidth="1"/>
    <col min="6" max="6" width="13.5703125" style="3" customWidth="1"/>
    <col min="7" max="9" width="10" style="1" customWidth="1"/>
    <col min="10" max="16384" width="11.42578125" style="1"/>
  </cols>
  <sheetData>
    <row r="1" spans="1:8" s="39" customFormat="1" x14ac:dyDescent="0.25">
      <c r="E1" s="60"/>
      <c r="F1" s="61"/>
    </row>
    <row r="2" spans="1:8" s="39" customFormat="1" ht="17.25" x14ac:dyDescent="0.3">
      <c r="A2" s="146" t="s">
        <v>41</v>
      </c>
      <c r="B2" s="146"/>
      <c r="C2" s="146"/>
      <c r="D2" s="146"/>
      <c r="E2" s="146"/>
      <c r="F2" s="146"/>
    </row>
    <row r="3" spans="1:8" s="39" customFormat="1" ht="14.25" x14ac:dyDescent="0.3">
      <c r="A3" s="40"/>
      <c r="B3" s="40"/>
      <c r="C3" s="40"/>
      <c r="D3" s="40"/>
      <c r="E3" s="40"/>
      <c r="F3" s="40"/>
    </row>
    <row r="4" spans="1:8" s="39" customFormat="1" ht="14.25" x14ac:dyDescent="0.3">
      <c r="A4" s="62"/>
      <c r="B4" s="40"/>
      <c r="C4" s="40"/>
      <c r="D4" s="40"/>
      <c r="E4" s="41"/>
      <c r="F4" s="42"/>
    </row>
    <row r="5" spans="1:8" s="39" customFormat="1" ht="14.25" x14ac:dyDescent="0.3">
      <c r="A5" s="40"/>
      <c r="B5" s="40"/>
      <c r="C5" s="40"/>
      <c r="D5" s="40"/>
      <c r="E5" s="41"/>
      <c r="F5" s="42"/>
    </row>
    <row r="6" spans="1:8" s="39" customFormat="1" ht="14.25" x14ac:dyDescent="0.25">
      <c r="A6" s="63" t="s">
        <v>0</v>
      </c>
      <c r="B6" s="63" t="s">
        <v>1</v>
      </c>
      <c r="C6" s="128" t="s">
        <v>124</v>
      </c>
      <c r="D6" s="128" t="s">
        <v>126</v>
      </c>
      <c r="E6" s="129" t="s">
        <v>125</v>
      </c>
      <c r="F6" s="63" t="s">
        <v>2</v>
      </c>
    </row>
    <row r="7" spans="1:8" s="39" customFormat="1" ht="14.25" x14ac:dyDescent="0.25">
      <c r="A7" s="64"/>
      <c r="B7" s="133"/>
      <c r="C7" s="42"/>
      <c r="D7" s="64"/>
      <c r="E7" s="73"/>
      <c r="F7" s="133"/>
    </row>
    <row r="8" spans="1:8" s="70" customFormat="1" ht="19.7" customHeight="1" x14ac:dyDescent="0.2">
      <c r="A8" s="66" t="s">
        <v>11</v>
      </c>
      <c r="B8" s="134"/>
      <c r="C8" s="137"/>
      <c r="D8" s="67"/>
      <c r="E8" s="140"/>
      <c r="F8" s="140"/>
      <c r="G8" s="131"/>
      <c r="H8" s="132"/>
    </row>
    <row r="9" spans="1:8" s="70" customFormat="1" ht="19.7" customHeight="1" x14ac:dyDescent="0.25">
      <c r="A9" s="79" t="s">
        <v>10</v>
      </c>
      <c r="B9" s="73"/>
      <c r="C9" s="138"/>
      <c r="D9" s="71"/>
      <c r="E9" s="130"/>
      <c r="F9" s="142">
        <f>B9*E9</f>
        <v>0</v>
      </c>
    </row>
    <row r="10" spans="1:8" s="70" customFormat="1" ht="19.7" customHeight="1" x14ac:dyDescent="0.25">
      <c r="A10" s="79" t="s">
        <v>79</v>
      </c>
      <c r="B10" s="73"/>
      <c r="C10" s="138"/>
      <c r="D10" s="71"/>
      <c r="E10" s="130"/>
      <c r="F10" s="142">
        <f t="shared" ref="F10:F12" si="0">B10*E10</f>
        <v>0</v>
      </c>
    </row>
    <row r="11" spans="1:8" s="70" customFormat="1" ht="19.7" customHeight="1" x14ac:dyDescent="0.25">
      <c r="A11" s="79" t="s">
        <v>80</v>
      </c>
      <c r="B11" s="73"/>
      <c r="C11" s="138"/>
      <c r="D11" s="71"/>
      <c r="E11" s="141"/>
      <c r="F11" s="142">
        <f t="shared" si="0"/>
        <v>0</v>
      </c>
    </row>
    <row r="12" spans="1:8" s="70" customFormat="1" ht="19.7" customHeight="1" x14ac:dyDescent="0.25">
      <c r="A12" s="79" t="s">
        <v>83</v>
      </c>
      <c r="B12" s="73"/>
      <c r="C12" s="138"/>
      <c r="D12" s="71"/>
      <c r="E12" s="130"/>
      <c r="F12" s="142">
        <f t="shared" si="0"/>
        <v>0</v>
      </c>
    </row>
    <row r="13" spans="1:8" s="70" customFormat="1" ht="19.7" customHeight="1" x14ac:dyDescent="0.25">
      <c r="A13" s="74" t="str">
        <f>A8</f>
        <v>01</v>
      </c>
      <c r="B13" s="76"/>
      <c r="C13" s="139"/>
      <c r="D13" s="75"/>
      <c r="E13" s="76"/>
      <c r="F13" s="143">
        <f>SUM(F9:F12)</f>
        <v>0</v>
      </c>
    </row>
    <row r="14" spans="1:8" s="70" customFormat="1" ht="19.7" customHeight="1" x14ac:dyDescent="0.25">
      <c r="A14" s="79"/>
      <c r="B14" s="135"/>
      <c r="C14" s="138"/>
      <c r="D14" s="42"/>
      <c r="E14" s="73"/>
      <c r="F14" s="142"/>
    </row>
    <row r="15" spans="1:8" s="70" customFormat="1" ht="19.7" customHeight="1" x14ac:dyDescent="0.25">
      <c r="A15" s="66" t="s">
        <v>84</v>
      </c>
      <c r="B15" s="136"/>
      <c r="C15" s="138"/>
      <c r="D15" s="42"/>
      <c r="E15" s="130"/>
      <c r="F15" s="142"/>
    </row>
    <row r="16" spans="1:8" s="70" customFormat="1" ht="19.7" customHeight="1" x14ac:dyDescent="0.25">
      <c r="A16" s="79" t="s">
        <v>85</v>
      </c>
      <c r="B16" s="73"/>
      <c r="C16" s="138"/>
      <c r="D16" s="42"/>
      <c r="E16" s="130"/>
      <c r="F16" s="142">
        <f>B16*E16</f>
        <v>0</v>
      </c>
    </row>
    <row r="17" spans="1:6" s="70" customFormat="1" ht="19.7" customHeight="1" x14ac:dyDescent="0.25">
      <c r="A17" s="79" t="s">
        <v>86</v>
      </c>
      <c r="B17" s="73"/>
      <c r="C17" s="138"/>
      <c r="D17" s="42"/>
      <c r="E17" s="130"/>
      <c r="F17" s="142">
        <f t="shared" ref="F17:F20" si="1">B17*E17</f>
        <v>0</v>
      </c>
    </row>
    <row r="18" spans="1:6" s="70" customFormat="1" ht="19.7" customHeight="1" x14ac:dyDescent="0.25">
      <c r="A18" s="79" t="s">
        <v>87</v>
      </c>
      <c r="B18" s="73"/>
      <c r="C18" s="138"/>
      <c r="D18" s="42"/>
      <c r="E18" s="130"/>
      <c r="F18" s="142">
        <f t="shared" si="1"/>
        <v>0</v>
      </c>
    </row>
    <row r="19" spans="1:6" s="70" customFormat="1" ht="19.7" customHeight="1" x14ac:dyDescent="0.25">
      <c r="A19" s="79" t="s">
        <v>88</v>
      </c>
      <c r="B19" s="73"/>
      <c r="C19" s="138"/>
      <c r="D19" s="42"/>
      <c r="E19" s="130"/>
      <c r="F19" s="142">
        <f t="shared" si="1"/>
        <v>0</v>
      </c>
    </row>
    <row r="20" spans="1:6" s="70" customFormat="1" ht="19.7" customHeight="1" x14ac:dyDescent="0.25">
      <c r="A20" s="79" t="s">
        <v>99</v>
      </c>
      <c r="B20" s="73"/>
      <c r="C20" s="138"/>
      <c r="D20" s="42"/>
      <c r="E20" s="130"/>
      <c r="F20" s="142">
        <f t="shared" si="1"/>
        <v>0</v>
      </c>
    </row>
    <row r="21" spans="1:6" s="70" customFormat="1" ht="19.7" customHeight="1" x14ac:dyDescent="0.25">
      <c r="A21" s="74" t="s">
        <v>84</v>
      </c>
      <c r="B21" s="76"/>
      <c r="C21" s="139"/>
      <c r="D21" s="75"/>
      <c r="E21" s="76"/>
      <c r="F21" s="143">
        <f>SUM(F16:F20)</f>
        <v>0</v>
      </c>
    </row>
    <row r="22" spans="1:6" s="70" customFormat="1" ht="19.7" customHeight="1" x14ac:dyDescent="0.25">
      <c r="A22" s="79"/>
      <c r="B22" s="135"/>
      <c r="C22" s="138"/>
      <c r="D22" s="42"/>
      <c r="E22" s="73"/>
      <c r="F22" s="142"/>
    </row>
    <row r="23" spans="1:6" s="70" customFormat="1" ht="19.7" customHeight="1" x14ac:dyDescent="0.25">
      <c r="A23" s="66" t="s">
        <v>43</v>
      </c>
      <c r="B23" s="136"/>
      <c r="C23" s="138"/>
      <c r="D23" s="42"/>
      <c r="E23" s="73"/>
      <c r="F23" s="142"/>
    </row>
    <row r="24" spans="1:6" s="70" customFormat="1" ht="19.7" customHeight="1" x14ac:dyDescent="0.25">
      <c r="A24" s="79"/>
      <c r="B24" s="135"/>
      <c r="C24" s="138"/>
      <c r="D24" s="42"/>
      <c r="E24" s="73"/>
      <c r="F24" s="142"/>
    </row>
    <row r="25" spans="1:6" s="70" customFormat="1" ht="19.7" customHeight="1" x14ac:dyDescent="0.25">
      <c r="A25" s="79" t="s">
        <v>44</v>
      </c>
      <c r="B25" s="73"/>
      <c r="C25" s="138"/>
      <c r="D25" s="42"/>
      <c r="E25" s="130"/>
      <c r="F25" s="142">
        <f>B25*E25</f>
        <v>0</v>
      </c>
    </row>
    <row r="26" spans="1:6" s="70" customFormat="1" ht="19.7" customHeight="1" x14ac:dyDescent="0.25">
      <c r="A26" s="79" t="s">
        <v>45</v>
      </c>
      <c r="B26" s="73"/>
      <c r="C26" s="138"/>
      <c r="D26" s="42"/>
      <c r="E26" s="130"/>
      <c r="F26" s="142">
        <f t="shared" ref="F26:F34" si="2">B26*E26</f>
        <v>0</v>
      </c>
    </row>
    <row r="27" spans="1:6" s="70" customFormat="1" ht="19.7" customHeight="1" x14ac:dyDescent="0.25">
      <c r="A27" s="79" t="s">
        <v>100</v>
      </c>
      <c r="B27" s="73"/>
      <c r="C27" s="138"/>
      <c r="D27" s="42"/>
      <c r="E27" s="130"/>
      <c r="F27" s="142">
        <f t="shared" si="2"/>
        <v>0</v>
      </c>
    </row>
    <row r="28" spans="1:6" s="70" customFormat="1" ht="19.7" customHeight="1" x14ac:dyDescent="0.25">
      <c r="A28" s="79" t="s">
        <v>102</v>
      </c>
      <c r="B28" s="73"/>
      <c r="C28" s="138"/>
      <c r="D28" s="42"/>
      <c r="E28" s="130"/>
      <c r="F28" s="142">
        <f t="shared" si="2"/>
        <v>0</v>
      </c>
    </row>
    <row r="29" spans="1:6" s="70" customFormat="1" ht="19.7" customHeight="1" x14ac:dyDescent="0.25">
      <c r="A29" s="79" t="s">
        <v>103</v>
      </c>
      <c r="B29" s="73"/>
      <c r="C29" s="138"/>
      <c r="D29" s="42"/>
      <c r="E29" s="130"/>
      <c r="F29" s="142">
        <f t="shared" si="2"/>
        <v>0</v>
      </c>
    </row>
    <row r="30" spans="1:6" s="70" customFormat="1" ht="19.7" customHeight="1" x14ac:dyDescent="0.25">
      <c r="A30" s="79" t="s">
        <v>104</v>
      </c>
      <c r="B30" s="73"/>
      <c r="C30" s="138"/>
      <c r="D30" s="42"/>
      <c r="E30" s="130"/>
      <c r="F30" s="142">
        <f t="shared" si="2"/>
        <v>0</v>
      </c>
    </row>
    <row r="31" spans="1:6" s="70" customFormat="1" ht="19.7" customHeight="1" x14ac:dyDescent="0.25">
      <c r="A31" s="79" t="s">
        <v>105</v>
      </c>
      <c r="B31" s="73"/>
      <c r="C31" s="138"/>
      <c r="D31" s="42"/>
      <c r="E31" s="130"/>
      <c r="F31" s="142">
        <f t="shared" si="2"/>
        <v>0</v>
      </c>
    </row>
    <row r="32" spans="1:6" s="70" customFormat="1" ht="19.7" customHeight="1" x14ac:dyDescent="0.25">
      <c r="A32" s="79" t="s">
        <v>106</v>
      </c>
      <c r="B32" s="73"/>
      <c r="C32" s="138"/>
      <c r="D32" s="42"/>
      <c r="E32" s="130"/>
      <c r="F32" s="142">
        <f t="shared" si="2"/>
        <v>0</v>
      </c>
    </row>
    <row r="33" spans="1:6" s="70" customFormat="1" ht="19.7" customHeight="1" x14ac:dyDescent="0.25">
      <c r="A33" s="79" t="s">
        <v>107</v>
      </c>
      <c r="B33" s="73"/>
      <c r="C33" s="138"/>
      <c r="D33" s="42"/>
      <c r="E33" s="130"/>
      <c r="F33" s="142">
        <f t="shared" si="2"/>
        <v>0</v>
      </c>
    </row>
    <row r="34" spans="1:6" s="70" customFormat="1" ht="19.7" customHeight="1" x14ac:dyDescent="0.25">
      <c r="A34" s="79" t="s">
        <v>108</v>
      </c>
      <c r="B34" s="73"/>
      <c r="C34" s="138"/>
      <c r="D34" s="42"/>
      <c r="E34" s="130"/>
      <c r="F34" s="142">
        <f t="shared" si="2"/>
        <v>0</v>
      </c>
    </row>
    <row r="35" spans="1:6" s="70" customFormat="1" ht="19.7" customHeight="1" x14ac:dyDescent="0.25">
      <c r="A35" s="74" t="str">
        <f>A23</f>
        <v>03</v>
      </c>
      <c r="B35" s="76"/>
      <c r="C35" s="139"/>
      <c r="D35" s="75"/>
      <c r="E35" s="76"/>
      <c r="F35" s="143">
        <f>SUM(F25:F34)</f>
        <v>0</v>
      </c>
    </row>
    <row r="36" spans="1:6" s="70" customFormat="1" ht="19.7" customHeight="1" x14ac:dyDescent="0.25">
      <c r="A36" s="79"/>
      <c r="B36" s="135"/>
      <c r="C36" s="138"/>
      <c r="D36" s="42"/>
      <c r="E36" s="73"/>
      <c r="F36" s="142"/>
    </row>
    <row r="37" spans="1:6" s="70" customFormat="1" ht="19.7" customHeight="1" x14ac:dyDescent="0.25">
      <c r="A37" s="79"/>
      <c r="B37" s="135"/>
      <c r="C37" s="138"/>
      <c r="D37" s="42"/>
      <c r="E37" s="73"/>
      <c r="F37" s="142"/>
    </row>
    <row r="38" spans="1:6" s="70" customFormat="1" ht="19.7" customHeight="1" x14ac:dyDescent="0.25">
      <c r="A38" s="79"/>
      <c r="B38" s="135"/>
      <c r="C38" s="138"/>
      <c r="D38" s="42"/>
      <c r="E38" s="73"/>
      <c r="F38" s="142"/>
    </row>
    <row r="39" spans="1:6" s="70" customFormat="1" ht="19.7" customHeight="1" x14ac:dyDescent="0.25">
      <c r="A39" s="79"/>
      <c r="B39" s="135"/>
      <c r="C39" s="138"/>
      <c r="D39" s="42"/>
      <c r="E39" s="73"/>
      <c r="F39" s="142"/>
    </row>
    <row r="40" spans="1:6" s="70" customFormat="1" ht="19.7" customHeight="1" x14ac:dyDescent="0.25">
      <c r="A40" s="79"/>
      <c r="B40" s="135"/>
      <c r="C40" s="138"/>
      <c r="D40" s="42"/>
      <c r="E40" s="73"/>
      <c r="F40" s="142"/>
    </row>
    <row r="41" spans="1:6" s="70" customFormat="1" ht="19.7" customHeight="1" x14ac:dyDescent="0.25">
      <c r="A41" s="79"/>
      <c r="B41" s="135"/>
      <c r="C41" s="138"/>
      <c r="D41" s="42"/>
      <c r="E41" s="73"/>
      <c r="F41" s="142"/>
    </row>
    <row r="42" spans="1:6" s="70" customFormat="1" ht="19.7" customHeight="1" x14ac:dyDescent="0.25">
      <c r="A42" s="66" t="s">
        <v>89</v>
      </c>
      <c r="B42" s="136"/>
      <c r="C42" s="138"/>
      <c r="D42" s="42"/>
      <c r="E42" s="73"/>
      <c r="F42" s="142"/>
    </row>
    <row r="43" spans="1:6" s="70" customFormat="1" ht="19.7" customHeight="1" x14ac:dyDescent="0.25">
      <c r="A43" s="79" t="s">
        <v>90</v>
      </c>
      <c r="B43" s="135"/>
      <c r="C43" s="138"/>
      <c r="D43" s="42"/>
      <c r="E43" s="130"/>
      <c r="F43" s="142">
        <f>B43*E43</f>
        <v>0</v>
      </c>
    </row>
    <row r="44" spans="1:6" s="70" customFormat="1" ht="19.7" customHeight="1" x14ac:dyDescent="0.25">
      <c r="A44" s="79" t="s">
        <v>91</v>
      </c>
      <c r="B44" s="135"/>
      <c r="C44" s="138"/>
      <c r="D44" s="42"/>
      <c r="E44" s="130"/>
      <c r="F44" s="142">
        <f t="shared" ref="F44:F51" si="3">B44*E44</f>
        <v>0</v>
      </c>
    </row>
    <row r="45" spans="1:6" s="70" customFormat="1" ht="19.7" customHeight="1" x14ac:dyDescent="0.25">
      <c r="A45" s="79" t="s">
        <v>92</v>
      </c>
      <c r="B45" s="135"/>
      <c r="C45" s="138"/>
      <c r="D45" s="42"/>
      <c r="E45" s="130"/>
      <c r="F45" s="142">
        <f t="shared" si="3"/>
        <v>0</v>
      </c>
    </row>
    <row r="46" spans="1:6" s="70" customFormat="1" ht="19.7" customHeight="1" x14ac:dyDescent="0.25">
      <c r="A46" s="79" t="s">
        <v>127</v>
      </c>
      <c r="B46" s="135"/>
      <c r="C46" s="138"/>
      <c r="D46" s="42"/>
      <c r="E46" s="130"/>
      <c r="F46" s="142">
        <f t="shared" si="3"/>
        <v>0</v>
      </c>
    </row>
    <row r="47" spans="1:6" s="70" customFormat="1" ht="19.7" customHeight="1" x14ac:dyDescent="0.25">
      <c r="A47" s="79" t="s">
        <v>128</v>
      </c>
      <c r="B47" s="135"/>
      <c r="C47" s="138"/>
      <c r="D47" s="42"/>
      <c r="E47" s="130"/>
      <c r="F47" s="142">
        <f t="shared" si="3"/>
        <v>0</v>
      </c>
    </row>
    <row r="48" spans="1:6" s="70" customFormat="1" ht="19.7" customHeight="1" x14ac:dyDescent="0.25">
      <c r="A48" s="79" t="s">
        <v>129</v>
      </c>
      <c r="B48" s="135"/>
      <c r="C48" s="138"/>
      <c r="D48" s="42"/>
      <c r="E48" s="130"/>
      <c r="F48" s="142">
        <f t="shared" si="3"/>
        <v>0</v>
      </c>
    </row>
    <row r="49" spans="1:6" s="70" customFormat="1" ht="19.7" customHeight="1" x14ac:dyDescent="0.25">
      <c r="A49" s="79" t="s">
        <v>130</v>
      </c>
      <c r="B49" s="135"/>
      <c r="C49" s="138"/>
      <c r="D49" s="42"/>
      <c r="E49" s="130"/>
      <c r="F49" s="142">
        <f t="shared" si="3"/>
        <v>0</v>
      </c>
    </row>
    <row r="50" spans="1:6" s="70" customFormat="1" ht="19.7" customHeight="1" x14ac:dyDescent="0.25">
      <c r="A50" s="79" t="s">
        <v>131</v>
      </c>
      <c r="B50" s="135"/>
      <c r="C50" s="138"/>
      <c r="D50" s="42"/>
      <c r="E50" s="130"/>
      <c r="F50" s="142">
        <f t="shared" si="3"/>
        <v>0</v>
      </c>
    </row>
    <row r="51" spans="1:6" s="70" customFormat="1" ht="19.7" customHeight="1" x14ac:dyDescent="0.25">
      <c r="A51" s="79" t="s">
        <v>132</v>
      </c>
      <c r="B51" s="135"/>
      <c r="C51" s="138"/>
      <c r="D51" s="42"/>
      <c r="E51" s="130"/>
      <c r="F51" s="142">
        <f t="shared" si="3"/>
        <v>0</v>
      </c>
    </row>
    <row r="52" spans="1:6" s="70" customFormat="1" ht="19.7" customHeight="1" x14ac:dyDescent="0.25">
      <c r="A52" s="74" t="str">
        <f>A42</f>
        <v>04</v>
      </c>
      <c r="B52" s="76"/>
      <c r="C52" s="139"/>
      <c r="D52" s="75"/>
      <c r="E52" s="76"/>
      <c r="F52" s="143">
        <f>SUM(F43:F51)</f>
        <v>0</v>
      </c>
    </row>
    <row r="53" spans="1:6" s="70" customFormat="1" ht="19.7" customHeight="1" x14ac:dyDescent="0.25">
      <c r="A53" s="79"/>
      <c r="B53" s="91"/>
      <c r="C53" s="138"/>
      <c r="D53" s="42"/>
      <c r="E53" s="73"/>
      <c r="F53" s="142"/>
    </row>
    <row r="54" spans="1:6" s="70" customFormat="1" ht="19.7" customHeight="1" x14ac:dyDescent="0.25">
      <c r="A54" s="79"/>
      <c r="B54" s="71"/>
      <c r="C54" s="73"/>
      <c r="D54" s="42"/>
      <c r="E54" s="73"/>
      <c r="F54" s="142"/>
    </row>
    <row r="55" spans="1:6" s="70" customFormat="1" ht="19.7" customHeight="1" x14ac:dyDescent="0.25">
      <c r="A55" s="66" t="s">
        <v>109</v>
      </c>
      <c r="B55" s="81" t="s">
        <v>47</v>
      </c>
      <c r="C55" s="73"/>
      <c r="D55" s="42"/>
      <c r="E55" s="73"/>
      <c r="F55" s="142"/>
    </row>
    <row r="56" spans="1:6" s="70" customFormat="1" ht="19.7" customHeight="1" x14ac:dyDescent="0.25">
      <c r="A56" s="66"/>
      <c r="B56" s="71" t="s">
        <v>50</v>
      </c>
      <c r="C56" s="73"/>
      <c r="D56" s="42"/>
      <c r="E56" s="73"/>
      <c r="F56" s="142"/>
    </row>
    <row r="57" spans="1:6" s="70" customFormat="1" ht="19.7" customHeight="1" x14ac:dyDescent="0.25">
      <c r="A57" s="66"/>
      <c r="B57" s="71" t="s">
        <v>51</v>
      </c>
      <c r="C57" s="73"/>
      <c r="D57" s="42"/>
      <c r="E57" s="73"/>
      <c r="F57" s="142"/>
    </row>
    <row r="58" spans="1:6" s="70" customFormat="1" ht="19.7" customHeight="1" x14ac:dyDescent="0.25">
      <c r="A58" s="66"/>
      <c r="B58" s="71" t="s">
        <v>52</v>
      </c>
      <c r="C58" s="73"/>
      <c r="D58" s="42"/>
      <c r="E58" s="73"/>
      <c r="F58" s="142"/>
    </row>
    <row r="59" spans="1:6" s="70" customFormat="1" ht="19.7" customHeight="1" x14ac:dyDescent="0.25">
      <c r="A59" s="66"/>
      <c r="B59" s="71"/>
      <c r="C59" s="73"/>
      <c r="D59" s="42"/>
      <c r="E59" s="73"/>
      <c r="F59" s="142"/>
    </row>
    <row r="60" spans="1:6" s="70" customFormat="1" ht="19.7" customHeight="1" x14ac:dyDescent="0.25">
      <c r="A60" s="79" t="s">
        <v>110</v>
      </c>
      <c r="B60" s="73">
        <v>1</v>
      </c>
      <c r="C60" s="42" t="s">
        <v>42</v>
      </c>
      <c r="D60" s="71" t="s">
        <v>48</v>
      </c>
      <c r="E60" s="130">
        <v>50</v>
      </c>
      <c r="F60" s="142" t="s">
        <v>94</v>
      </c>
    </row>
    <row r="61" spans="1:6" s="70" customFormat="1" ht="19.7" customHeight="1" x14ac:dyDescent="0.25">
      <c r="A61" s="79" t="s">
        <v>111</v>
      </c>
      <c r="B61" s="73">
        <v>1</v>
      </c>
      <c r="C61" s="42" t="s">
        <v>46</v>
      </c>
      <c r="D61" s="71" t="s">
        <v>49</v>
      </c>
      <c r="E61" s="130">
        <v>1.1200000000000001</v>
      </c>
      <c r="F61" s="142" t="s">
        <v>94</v>
      </c>
    </row>
    <row r="62" spans="1:6" s="70" customFormat="1" ht="19.7" customHeight="1" x14ac:dyDescent="0.25">
      <c r="A62" s="74" t="str">
        <f>A55</f>
        <v>11</v>
      </c>
      <c r="B62" s="75" t="str">
        <f>B55</f>
        <v>Regieleistungen</v>
      </c>
      <c r="C62" s="76"/>
      <c r="D62" s="77"/>
      <c r="E62" s="76"/>
      <c r="F62" s="78" t="s">
        <v>94</v>
      </c>
    </row>
    <row r="63" spans="1:6" s="70" customFormat="1" ht="19.7" customHeight="1" x14ac:dyDescent="0.25">
      <c r="A63" s="79"/>
      <c r="B63" s="71"/>
      <c r="C63" s="73"/>
      <c r="D63" s="42"/>
      <c r="E63" s="73"/>
      <c r="F63" s="72"/>
    </row>
    <row r="64" spans="1:6" s="70" customFormat="1" ht="19.7" customHeight="1" x14ac:dyDescent="0.25">
      <c r="A64" s="79"/>
      <c r="B64" s="71"/>
      <c r="C64" s="73"/>
      <c r="D64" s="42"/>
      <c r="E64" s="73"/>
      <c r="F64" s="80"/>
    </row>
    <row r="65" spans="1:7" s="39" customFormat="1" ht="15" customHeight="1" x14ac:dyDescent="0.25">
      <c r="A65" s="83"/>
      <c r="B65" s="84"/>
      <c r="C65" s="85"/>
      <c r="D65" s="86"/>
      <c r="E65" s="85"/>
      <c r="F65" s="87"/>
      <c r="G65" s="70"/>
    </row>
    <row r="66" spans="1:7" s="39" customFormat="1" ht="21.75" customHeight="1" x14ac:dyDescent="0.25">
      <c r="A66" s="144" t="s">
        <v>32</v>
      </c>
      <c r="B66" s="144"/>
      <c r="C66" s="144"/>
      <c r="D66" s="144"/>
      <c r="E66" s="144"/>
      <c r="F66" s="144"/>
      <c r="G66" s="70"/>
    </row>
    <row r="67" spans="1:7" s="39" customFormat="1" ht="15" customHeight="1" x14ac:dyDescent="0.25">
      <c r="A67" s="79"/>
      <c r="B67" s="82"/>
      <c r="C67" s="73"/>
      <c r="D67" s="42"/>
      <c r="E67" s="73"/>
      <c r="F67" s="80"/>
      <c r="G67" s="70"/>
    </row>
    <row r="68" spans="1:7" s="39" customFormat="1" ht="15" customHeight="1" x14ac:dyDescent="0.25">
      <c r="A68" s="79" t="str">
        <f>A13</f>
        <v>01</v>
      </c>
      <c r="B68" s="88">
        <f>D13</f>
        <v>0</v>
      </c>
      <c r="C68" s="73"/>
      <c r="D68" s="42"/>
      <c r="E68" s="73"/>
      <c r="F68" s="72">
        <f>F13</f>
        <v>0</v>
      </c>
      <c r="G68" s="70"/>
    </row>
    <row r="69" spans="1:7" s="39" customFormat="1" ht="15" customHeight="1" x14ac:dyDescent="0.25">
      <c r="A69" s="79" t="s">
        <v>84</v>
      </c>
      <c r="B69" s="82">
        <f>D21</f>
        <v>0</v>
      </c>
      <c r="C69" s="73"/>
      <c r="D69" s="42"/>
      <c r="E69" s="73"/>
      <c r="F69" s="72">
        <f>F21</f>
        <v>0</v>
      </c>
      <c r="G69" s="70"/>
    </row>
    <row r="70" spans="1:7" s="39" customFormat="1" ht="15" customHeight="1" x14ac:dyDescent="0.25">
      <c r="A70" s="79" t="str">
        <f>A35</f>
        <v>03</v>
      </c>
      <c r="B70" s="88">
        <f>D35</f>
        <v>0</v>
      </c>
      <c r="C70" s="73"/>
      <c r="D70" s="42"/>
      <c r="E70" s="73"/>
      <c r="F70" s="72">
        <f>F35</f>
        <v>0</v>
      </c>
      <c r="G70" s="70"/>
    </row>
    <row r="71" spans="1:7" s="39" customFormat="1" ht="15" customHeight="1" x14ac:dyDescent="0.25">
      <c r="A71" s="79" t="str">
        <f>A52</f>
        <v>04</v>
      </c>
      <c r="B71" s="88">
        <f>D52</f>
        <v>0</v>
      </c>
      <c r="C71" s="73"/>
      <c r="D71" s="42"/>
      <c r="E71" s="73"/>
      <c r="F71" s="72">
        <f>F52</f>
        <v>0</v>
      </c>
      <c r="G71" s="70"/>
    </row>
    <row r="72" spans="1:7" s="39" customFormat="1" ht="15" customHeight="1" x14ac:dyDescent="0.25">
      <c r="A72" s="79" t="str">
        <f>A62</f>
        <v>11</v>
      </c>
      <c r="B72" s="88" t="str">
        <f>B62</f>
        <v>Regieleistungen</v>
      </c>
      <c r="C72" s="73"/>
      <c r="D72" s="42"/>
      <c r="E72" s="73"/>
      <c r="F72" s="72" t="str">
        <f>F62</f>
        <v>*nur EH-Preis*</v>
      </c>
    </row>
    <row r="73" spans="1:7" s="39" customFormat="1" ht="15" customHeight="1" x14ac:dyDescent="0.25">
      <c r="A73" s="89"/>
      <c r="B73" s="90" t="s">
        <v>53</v>
      </c>
      <c r="C73" s="91"/>
      <c r="D73" s="92"/>
      <c r="E73" s="91"/>
      <c r="F73" s="93">
        <f>SUM(F68:F72)</f>
        <v>0</v>
      </c>
    </row>
    <row r="74" spans="1:7" s="39" customFormat="1" ht="15" customHeight="1" x14ac:dyDescent="0.25">
      <c r="A74" s="79"/>
      <c r="B74" s="82"/>
      <c r="C74" s="73"/>
      <c r="D74" s="42"/>
      <c r="E74" s="73"/>
      <c r="F74" s="80"/>
    </row>
    <row r="75" spans="1:7" s="39" customFormat="1" ht="15" customHeight="1" x14ac:dyDescent="0.25">
      <c r="A75" s="79"/>
      <c r="B75" s="82"/>
      <c r="C75" s="73"/>
      <c r="D75" s="42"/>
      <c r="E75" s="73"/>
      <c r="F75" s="80"/>
    </row>
    <row r="76" spans="1:7" s="39" customFormat="1" ht="15" customHeight="1" x14ac:dyDescent="0.25">
      <c r="A76" s="79"/>
      <c r="B76" s="82"/>
      <c r="C76" s="73"/>
      <c r="D76" s="42"/>
      <c r="E76" s="73"/>
      <c r="F76" s="80"/>
    </row>
    <row r="77" spans="1:7" s="39" customFormat="1" x14ac:dyDescent="0.25">
      <c r="A77" s="145" t="s">
        <v>32</v>
      </c>
      <c r="B77" s="145"/>
      <c r="C77" s="145"/>
      <c r="D77" s="145"/>
      <c r="E77" s="145"/>
      <c r="F77" s="145"/>
    </row>
    <row r="78" spans="1:7" s="39" customFormat="1" ht="12.75" hidden="1" customHeight="1" x14ac:dyDescent="0.25">
      <c r="A78" s="94" t="s">
        <v>12</v>
      </c>
      <c r="B78" s="95" t="s">
        <v>20</v>
      </c>
      <c r="C78" s="96"/>
      <c r="D78" s="95"/>
      <c r="E78" s="96"/>
      <c r="F78" s="97"/>
    </row>
    <row r="79" spans="1:7" s="39" customFormat="1" ht="12.75" hidden="1" customHeight="1" x14ac:dyDescent="0.25">
      <c r="A79" s="79" t="s">
        <v>13</v>
      </c>
      <c r="B79" s="42" t="s">
        <v>14</v>
      </c>
      <c r="C79" s="73"/>
      <c r="D79" s="42" t="s">
        <v>6</v>
      </c>
      <c r="E79" s="73">
        <v>78</v>
      </c>
      <c r="F79" s="80" t="s">
        <v>8</v>
      </c>
    </row>
    <row r="80" spans="1:7" s="39" customFormat="1" ht="12.75" hidden="1" customHeight="1" x14ac:dyDescent="0.25">
      <c r="A80" s="79"/>
      <c r="B80" s="42" t="s">
        <v>15</v>
      </c>
      <c r="C80" s="73"/>
      <c r="D80" s="42"/>
      <c r="E80" s="73"/>
      <c r="F80" s="80"/>
    </row>
    <row r="81" spans="1:6" s="39" customFormat="1" ht="12.75" hidden="1" customHeight="1" x14ac:dyDescent="0.25">
      <c r="A81" s="79"/>
      <c r="B81" s="42" t="s">
        <v>16</v>
      </c>
      <c r="C81" s="73"/>
      <c r="D81" s="42"/>
      <c r="E81" s="73"/>
      <c r="F81" s="80"/>
    </row>
    <row r="82" spans="1:6" s="39" customFormat="1" ht="12.75" hidden="1" customHeight="1" x14ac:dyDescent="0.25">
      <c r="A82" s="79" t="s">
        <v>18</v>
      </c>
      <c r="B82" s="42" t="s">
        <v>17</v>
      </c>
      <c r="C82" s="73"/>
      <c r="D82" s="42" t="s">
        <v>5</v>
      </c>
      <c r="E82" s="73">
        <v>900</v>
      </c>
      <c r="F82" s="80" t="s">
        <v>7</v>
      </c>
    </row>
    <row r="83" spans="1:6" s="39" customFormat="1" ht="13.5" hidden="1" customHeight="1" x14ac:dyDescent="0.25">
      <c r="A83" s="79" t="s">
        <v>19</v>
      </c>
      <c r="B83" s="42" t="s">
        <v>21</v>
      </c>
      <c r="C83" s="73"/>
      <c r="D83" s="42" t="s">
        <v>6</v>
      </c>
      <c r="E83" s="73">
        <v>800</v>
      </c>
      <c r="F83" s="80" t="s">
        <v>9</v>
      </c>
    </row>
    <row r="84" spans="1:6" s="39" customFormat="1" ht="13.5" hidden="1" customHeight="1" x14ac:dyDescent="0.25">
      <c r="A84" s="79" t="s">
        <v>22</v>
      </c>
      <c r="B84" s="42" t="s">
        <v>23</v>
      </c>
      <c r="C84" s="73"/>
      <c r="D84" s="42" t="s">
        <v>6</v>
      </c>
      <c r="E84" s="73">
        <v>60</v>
      </c>
      <c r="F84" s="80" t="s">
        <v>8</v>
      </c>
    </row>
    <row r="85" spans="1:6" s="39" customFormat="1" ht="13.5" hidden="1" customHeight="1" x14ac:dyDescent="0.25">
      <c r="A85" s="79"/>
      <c r="B85" s="42" t="s">
        <v>31</v>
      </c>
      <c r="C85" s="73"/>
      <c r="D85" s="42"/>
      <c r="E85" s="73"/>
      <c r="F85" s="80"/>
    </row>
    <row r="86" spans="1:6" s="39" customFormat="1" ht="13.5" hidden="1" customHeight="1" x14ac:dyDescent="0.25">
      <c r="A86" s="79"/>
      <c r="B86" s="42" t="s">
        <v>30</v>
      </c>
      <c r="C86" s="73"/>
      <c r="D86" s="42"/>
      <c r="E86" s="73"/>
      <c r="F86" s="80"/>
    </row>
    <row r="87" spans="1:6" s="39" customFormat="1" ht="13.5" hidden="1" customHeight="1" x14ac:dyDescent="0.25">
      <c r="A87" s="79" t="s">
        <v>29</v>
      </c>
      <c r="B87" s="42" t="s">
        <v>23</v>
      </c>
      <c r="C87" s="73"/>
      <c r="D87" s="42" t="s">
        <v>6</v>
      </c>
      <c r="E87" s="73">
        <v>90</v>
      </c>
      <c r="F87" s="80" t="s">
        <v>8</v>
      </c>
    </row>
    <row r="88" spans="1:6" s="39" customFormat="1" ht="13.5" hidden="1" customHeight="1" x14ac:dyDescent="0.25">
      <c r="A88" s="79"/>
      <c r="B88" s="42" t="s">
        <v>24</v>
      </c>
      <c r="C88" s="73"/>
      <c r="D88" s="42"/>
      <c r="E88" s="73"/>
      <c r="F88" s="80"/>
    </row>
    <row r="89" spans="1:6" s="39" customFormat="1" ht="13.5" hidden="1" customHeight="1" x14ac:dyDescent="0.25">
      <c r="A89" s="79"/>
      <c r="B89" s="42" t="s">
        <v>25</v>
      </c>
      <c r="C89" s="73"/>
      <c r="D89" s="42"/>
      <c r="E89" s="73"/>
      <c r="F89" s="80"/>
    </row>
    <row r="90" spans="1:6" s="39" customFormat="1" ht="13.5" hidden="1" customHeight="1" x14ac:dyDescent="0.25">
      <c r="A90" s="79"/>
      <c r="B90" s="42" t="s">
        <v>26</v>
      </c>
      <c r="C90" s="73"/>
      <c r="D90" s="42"/>
      <c r="E90" s="73"/>
      <c r="F90" s="80"/>
    </row>
    <row r="91" spans="1:6" s="39" customFormat="1" ht="14.25" hidden="1" x14ac:dyDescent="0.25">
      <c r="A91" s="79"/>
      <c r="B91" s="42" t="s">
        <v>27</v>
      </c>
      <c r="C91" s="73"/>
      <c r="D91" s="42"/>
      <c r="E91" s="73"/>
      <c r="F91" s="80"/>
    </row>
    <row r="92" spans="1:6" s="39" customFormat="1" ht="14.25" hidden="1" x14ac:dyDescent="0.25">
      <c r="A92" s="79"/>
      <c r="B92" s="42"/>
      <c r="C92" s="73"/>
      <c r="D92" s="42"/>
      <c r="E92" s="73"/>
      <c r="F92" s="80"/>
    </row>
    <row r="93" spans="1:6" s="39" customFormat="1" hidden="1" x14ac:dyDescent="0.25">
      <c r="A93" s="98" t="s">
        <v>12</v>
      </c>
      <c r="B93" s="99" t="s">
        <v>28</v>
      </c>
      <c r="C93" s="100"/>
      <c r="D93" s="99"/>
      <c r="E93" s="100"/>
      <c r="F93" s="101"/>
    </row>
    <row r="94" spans="1:6" s="39" customFormat="1" ht="3.6" customHeight="1" x14ac:dyDescent="0.25">
      <c r="A94" s="64"/>
      <c r="B94" s="42"/>
      <c r="C94" s="64"/>
      <c r="D94" s="42"/>
      <c r="E94" s="65"/>
      <c r="F94" s="80"/>
    </row>
    <row r="95" spans="1:6" s="39" customFormat="1" ht="16.350000000000001" customHeight="1" x14ac:dyDescent="0.25">
      <c r="A95" s="102" t="s">
        <v>55</v>
      </c>
      <c r="B95" s="103"/>
      <c r="C95" s="103"/>
      <c r="D95" s="104"/>
      <c r="E95" s="105"/>
      <c r="F95" s="106">
        <f>F73</f>
        <v>0</v>
      </c>
    </row>
    <row r="96" spans="1:6" s="39" customFormat="1" ht="16.350000000000001" customHeight="1" x14ac:dyDescent="0.25">
      <c r="A96" s="107" t="s">
        <v>4</v>
      </c>
      <c r="B96" s="108"/>
      <c r="C96" s="108"/>
      <c r="D96" s="108"/>
      <c r="E96" s="109"/>
      <c r="F96" s="110">
        <f>F95*0.2</f>
        <v>0</v>
      </c>
    </row>
    <row r="97" spans="1:6" s="39" customFormat="1" ht="5.0999999999999996" customHeight="1" x14ac:dyDescent="0.25">
      <c r="A97" s="111"/>
      <c r="B97" s="64"/>
      <c r="C97" s="64"/>
      <c r="D97" s="64"/>
      <c r="E97" s="65"/>
      <c r="F97" s="112"/>
    </row>
    <row r="98" spans="1:6" s="39" customFormat="1" ht="16.350000000000001" customHeight="1" x14ac:dyDescent="0.25">
      <c r="A98" s="113" t="s">
        <v>54</v>
      </c>
      <c r="B98" s="114"/>
      <c r="C98" s="114"/>
      <c r="D98" s="114"/>
      <c r="E98" s="115"/>
      <c r="F98" s="116">
        <f>F95*1.2</f>
        <v>0</v>
      </c>
    </row>
    <row r="99" spans="1:6" s="39" customFormat="1" ht="11.45" customHeight="1" x14ac:dyDescent="0.25">
      <c r="A99" s="117"/>
      <c r="B99" s="64"/>
      <c r="C99" s="64"/>
      <c r="D99" s="64"/>
      <c r="E99" s="65"/>
      <c r="F99" s="42"/>
    </row>
    <row r="100" spans="1:6" s="39" customFormat="1" ht="14.25" x14ac:dyDescent="0.25">
      <c r="A100" s="68"/>
      <c r="B100" s="68"/>
      <c r="C100" s="68"/>
      <c r="D100" s="68"/>
      <c r="E100" s="69"/>
      <c r="F100" s="42"/>
    </row>
    <row r="101" spans="1:6" s="39" customFormat="1" ht="14.25" x14ac:dyDescent="0.3">
      <c r="A101" s="40" t="s">
        <v>56</v>
      </c>
      <c r="B101" s="40"/>
      <c r="C101" s="40"/>
      <c r="D101" s="40"/>
      <c r="E101" s="41"/>
      <c r="F101" s="42"/>
    </row>
    <row r="102" spans="1:6" s="39" customFormat="1" ht="14.25" x14ac:dyDescent="0.3">
      <c r="A102" s="40"/>
      <c r="B102" s="40" t="s">
        <v>81</v>
      </c>
      <c r="C102" s="40"/>
      <c r="D102" s="40"/>
      <c r="E102" s="41"/>
      <c r="F102" s="42"/>
    </row>
    <row r="103" spans="1:6" s="39" customFormat="1" ht="14.25" x14ac:dyDescent="0.3">
      <c r="A103" s="40"/>
      <c r="B103" s="40"/>
      <c r="C103" s="40"/>
      <c r="D103" s="40"/>
      <c r="E103" s="41"/>
      <c r="F103" s="42"/>
    </row>
    <row r="104" spans="1:6" s="39" customFormat="1" ht="14.25" x14ac:dyDescent="0.3">
      <c r="A104" s="40" t="s">
        <v>57</v>
      </c>
      <c r="B104" s="40"/>
      <c r="C104" s="40"/>
      <c r="D104" s="40"/>
      <c r="E104" s="41"/>
      <c r="F104" s="42"/>
    </row>
    <row r="105" spans="1:6" s="39" customFormat="1" ht="14.25" x14ac:dyDescent="0.3">
      <c r="B105" s="40" t="s">
        <v>96</v>
      </c>
      <c r="C105" s="40"/>
      <c r="D105" s="40"/>
      <c r="E105" s="41"/>
      <c r="F105" s="42"/>
    </row>
    <row r="106" spans="1:6" s="39" customFormat="1" ht="14.25" x14ac:dyDescent="0.3">
      <c r="A106" s="40"/>
      <c r="B106" s="118" t="s">
        <v>97</v>
      </c>
      <c r="C106" s="40"/>
      <c r="D106" s="40"/>
      <c r="E106" s="41"/>
      <c r="F106" s="42"/>
    </row>
    <row r="107" spans="1:6" s="39" customFormat="1" ht="14.25" x14ac:dyDescent="0.3">
      <c r="A107" s="40"/>
      <c r="B107" s="40" t="s">
        <v>95</v>
      </c>
      <c r="C107" s="40"/>
      <c r="D107" s="40"/>
      <c r="E107" s="41"/>
      <c r="F107" s="42"/>
    </row>
    <row r="108" spans="1:6" s="39" customFormat="1" ht="14.25" x14ac:dyDescent="0.3">
      <c r="A108" s="40"/>
      <c r="B108" s="40"/>
      <c r="C108" s="40"/>
      <c r="D108" s="40"/>
      <c r="E108" s="41"/>
      <c r="F108" s="42"/>
    </row>
    <row r="109" spans="1:6" s="39" customFormat="1" ht="14.25" x14ac:dyDescent="0.3">
      <c r="A109" s="40"/>
      <c r="B109" s="40"/>
      <c r="C109" s="40"/>
      <c r="D109" s="40"/>
      <c r="E109" s="41"/>
      <c r="F109" s="42"/>
    </row>
    <row r="110" spans="1:6" s="39" customFormat="1" ht="14.25" x14ac:dyDescent="0.3">
      <c r="A110" s="40"/>
      <c r="B110" s="40"/>
      <c r="C110" s="40"/>
      <c r="D110" s="40"/>
      <c r="E110" s="41"/>
      <c r="F110" s="42"/>
    </row>
    <row r="111" spans="1:6" s="39" customFormat="1" ht="14.25" x14ac:dyDescent="0.3">
      <c r="A111" s="42" t="str">
        <f>Deckblatt!E16</f>
        <v xml:space="preserve">    Stanzach, am XX.XX.2026</v>
      </c>
      <c r="C111" s="40"/>
      <c r="D111" s="40"/>
      <c r="E111" s="41"/>
      <c r="F111" s="42"/>
    </row>
    <row r="112" spans="1:6" s="39" customFormat="1" ht="14.25" x14ac:dyDescent="0.3">
      <c r="A112" s="119" t="s">
        <v>58</v>
      </c>
      <c r="B112" s="120" t="s">
        <v>59</v>
      </c>
      <c r="C112" s="119"/>
      <c r="D112" s="119"/>
      <c r="E112" s="121" t="s">
        <v>118</v>
      </c>
      <c r="F112" s="122"/>
    </row>
    <row r="113" spans="1:6" s="39" customFormat="1" ht="14.25" x14ac:dyDescent="0.3">
      <c r="A113" s="124"/>
      <c r="B113" s="125"/>
      <c r="C113" s="124"/>
      <c r="D113" s="124"/>
      <c r="E113" s="126"/>
      <c r="F113" s="127"/>
    </row>
    <row r="114" spans="1:6" s="39" customFormat="1" ht="14.25" x14ac:dyDescent="0.3">
      <c r="A114" s="124"/>
      <c r="B114" s="125"/>
      <c r="C114" s="124"/>
      <c r="D114" s="124"/>
      <c r="E114" s="126"/>
      <c r="F114" s="127"/>
    </row>
    <row r="115" spans="1:6" s="39" customFormat="1" ht="14.25" x14ac:dyDescent="0.3">
      <c r="A115" s="124"/>
      <c r="B115" s="125"/>
      <c r="C115" s="124"/>
      <c r="D115" s="124"/>
      <c r="E115" s="126"/>
      <c r="F115" s="127"/>
    </row>
    <row r="116" spans="1:6" s="39" customFormat="1" ht="14.25" x14ac:dyDescent="0.3">
      <c r="A116" s="124"/>
      <c r="B116" s="125"/>
      <c r="C116" s="124"/>
      <c r="D116" s="124"/>
      <c r="E116" s="126"/>
      <c r="F116" s="127"/>
    </row>
    <row r="117" spans="1:6" s="39" customFormat="1" ht="14.25" x14ac:dyDescent="0.3">
      <c r="A117" s="40"/>
      <c r="B117" s="40"/>
      <c r="C117" s="40"/>
      <c r="D117" s="40"/>
      <c r="E117" s="41"/>
      <c r="F117" s="42"/>
    </row>
    <row r="118" spans="1:6" s="39" customFormat="1" ht="14.25" x14ac:dyDescent="0.3">
      <c r="A118" s="40"/>
      <c r="B118" s="40"/>
      <c r="C118" s="40"/>
      <c r="D118" s="40"/>
      <c r="E118" s="41"/>
      <c r="F118" s="42"/>
    </row>
    <row r="119" spans="1:6" s="39" customFormat="1" ht="14.25" x14ac:dyDescent="0.3">
      <c r="A119" s="40"/>
      <c r="B119" s="123" t="s">
        <v>123</v>
      </c>
      <c r="C119" s="40"/>
      <c r="D119" s="40"/>
      <c r="E119" s="41"/>
      <c r="F119" s="42"/>
    </row>
    <row r="120" spans="1:6" s="39" customFormat="1" ht="14.25" x14ac:dyDescent="0.3">
      <c r="A120" s="40"/>
      <c r="B120" s="40" t="s">
        <v>120</v>
      </c>
      <c r="C120" s="40"/>
      <c r="D120" s="40"/>
      <c r="E120" s="41"/>
      <c r="F120" s="42"/>
    </row>
    <row r="121" spans="1:6" s="39" customFormat="1" ht="14.25" x14ac:dyDescent="0.3">
      <c r="A121" s="40"/>
      <c r="B121" s="40" t="s">
        <v>122</v>
      </c>
      <c r="C121" s="40"/>
      <c r="D121" s="40"/>
      <c r="E121" s="41"/>
      <c r="F121" s="42"/>
    </row>
    <row r="122" spans="1:6" s="39" customFormat="1" ht="14.25" x14ac:dyDescent="0.3">
      <c r="A122" s="40"/>
      <c r="B122" s="40" t="s">
        <v>121</v>
      </c>
      <c r="C122" s="40"/>
      <c r="D122" s="40"/>
      <c r="E122" s="41"/>
      <c r="F122" s="42"/>
    </row>
    <row r="123" spans="1:6" s="39" customFormat="1" ht="14.25" x14ac:dyDescent="0.3">
      <c r="A123" s="40"/>
      <c r="B123" s="40"/>
      <c r="C123" s="40"/>
      <c r="D123" s="40"/>
      <c r="E123" s="41"/>
      <c r="F123" s="42"/>
    </row>
    <row r="124" spans="1:6" s="39" customFormat="1" ht="14.25" x14ac:dyDescent="0.3">
      <c r="A124" s="40"/>
      <c r="B124" s="40"/>
      <c r="C124" s="40"/>
      <c r="D124" s="40"/>
      <c r="E124" s="41"/>
      <c r="F124" s="42"/>
    </row>
    <row r="126" spans="1:6" s="39" customFormat="1" ht="14.25" x14ac:dyDescent="0.3">
      <c r="A126" s="40"/>
      <c r="B126" s="40"/>
      <c r="C126" s="40"/>
      <c r="D126" s="40"/>
      <c r="E126" s="41"/>
      <c r="F126" s="42"/>
    </row>
    <row r="127" spans="1:6" s="39" customFormat="1" ht="14.25" x14ac:dyDescent="0.3">
      <c r="A127" s="40"/>
      <c r="B127" s="40"/>
      <c r="C127" s="40"/>
      <c r="D127" s="40"/>
      <c r="E127" s="41"/>
      <c r="F127" s="42"/>
    </row>
    <row r="128" spans="1:6" s="39" customFormat="1" ht="14.25" x14ac:dyDescent="0.3">
      <c r="A128" s="119" t="s">
        <v>58</v>
      </c>
      <c r="B128" s="120" t="s">
        <v>59</v>
      </c>
      <c r="C128" s="119"/>
      <c r="D128" s="119"/>
      <c r="E128" s="121" t="s">
        <v>119</v>
      </c>
      <c r="F128" s="122"/>
    </row>
    <row r="129" spans="1:6" s="39" customFormat="1" ht="14.25" x14ac:dyDescent="0.3">
      <c r="A129" s="40"/>
      <c r="B129" s="40"/>
      <c r="C129" s="40"/>
      <c r="D129" s="40"/>
      <c r="E129" s="41"/>
      <c r="F129" s="42"/>
    </row>
  </sheetData>
  <mergeCells count="3">
    <mergeCell ref="A66:F66"/>
    <mergeCell ref="A77:F77"/>
    <mergeCell ref="A2:F2"/>
  </mergeCells>
  <phoneticPr fontId="18" type="noConversion"/>
  <pageMargins left="0.78740157480314965" right="0.39370078740157483" top="0.74803149606299213" bottom="0.19685039370078741" header="0.31496062992125984" footer="0.31496062992125984"/>
  <pageSetup paperSize="9" orientation="portrait" r:id="rId1"/>
  <headerFooter>
    <oddHeader>&amp;R&amp;"Century Gothic,Standard"&amp;9
Seite &amp;P von &amp;N</oddHeader>
  </headerFooter>
  <rowBreaks count="1" manualBreakCount="1">
    <brk id="7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</vt:i4>
      </vt:variant>
      <vt:variant>
        <vt:lpstr>Benannte Bereiche</vt:lpstr>
      </vt:variant>
      <vt:variant>
        <vt:i4>1</vt:i4>
      </vt:variant>
    </vt:vector>
  </HeadingPairs>
  <TitlesOfParts>
    <vt:vector size="4" baseType="lpstr">
      <vt:lpstr>Deckblatt</vt:lpstr>
      <vt:lpstr>Allg. Vertragsbedingungen</vt:lpstr>
      <vt:lpstr>Angebot</vt:lpstr>
      <vt:lpstr>Deckblatt!Druckbereich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Frischmann</dc:creator>
  <cp:lastModifiedBy>Natalie Frischmann</cp:lastModifiedBy>
  <cp:lastPrinted>2025-06-24T11:59:42Z</cp:lastPrinted>
  <dcterms:created xsi:type="dcterms:W3CDTF">2015-08-17T19:13:34Z</dcterms:created>
  <dcterms:modified xsi:type="dcterms:W3CDTF">2026-05-27T11:39:43Z</dcterms:modified>
</cp:coreProperties>
</file>